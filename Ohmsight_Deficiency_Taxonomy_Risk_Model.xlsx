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ow to use" sheetId="1" state="visible" r:id="rId3"/>
    <sheet name="Taxonomy and Risk" sheetId="2" state="visible" r:id="rId4"/>
    <sheet name="Review First" sheetId="3" state="visible" r:id="rId5"/>
    <sheet name="Summary by System" sheetId="4" state="visible" r:id="rId6"/>
    <sheet name="Sources" sheetId="5" state="visible" r:id="rId7"/>
    <sheet name="Scales" sheetId="6" state="visible" r:id="rId8"/>
  </sheets>
  <definedNames>
    <definedName function="false" hidden="true" localSheetId="1" name="_xlnm._FilterDatabase" vbProcedure="false">'Taxonomy and Risk'!$A$4:$T$64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<sst xmlns="http://schemas.openxmlformats.org/spreadsheetml/2006/main" count="819" uniqueCount="479">
  <si>
    <t xml:space="preserve">Ohmsight Risk-Based Electrical Review Model</t>
  </si>
  <si>
    <t xml:space="preserve">Deficiency taxonomy, evidence-based risk scoring, and code mapping. Version 0.2, September 2026. Author: Ezeoma (Lewis) Igwe.</t>
  </si>
  <si>
    <t xml:space="preserve">What this workbook does</t>
  </si>
  <si>
    <t xml:space="preserve">1. Taxonomy: 60 recurring electrical design deficiencies in 7 groups (general documentation, PV, energy storage, emergency and standby, fire alarm, service and distribution, load calculations).</t>
  </si>
  <si>
    <t xml:space="preserve">2. Risk model: Risk = Severity score x Frequency score (maximum 25). Deficiencies are ranked into a 'review first' order and three priority tiers.</t>
  </si>
  <si>
    <t xml:space="preserve">3. Code mapping: each deficiency is linked to NEC 2023 and California Title 24 sections by number only. No code text is reproduced.</t>
  </si>
  <si>
    <t xml:space="preserve">How frequency is scored (the evidence method)</t>
  </si>
  <si>
    <t xml:space="preserve">Frequency is not guessed. It is scored from published sources listed on the Sources tab:</t>
  </si>
  <si>
    <t xml:space="preserve">   - AHJ checklists: how many independent jurisdiction or code-body plan review checklists require or flag the item (CA, VA, AZ, WI, and ICC).</t>
  </si>
  <si>
    <t xml:space="preserve">   - Industry sources: how many plan-set or engineering sources describe the item as a common reason plans are returned.</t>
  </si>
  <si>
    <t xml:space="preserve">   - Top problem: whether any source names it as the most common or most often overlooked problem.</t>
  </si>
  <si>
    <t xml:space="preserve">The rules that turn these counts into a 1 to 5 score are on the Scales tab. The Field adjustment column (-2 to +2) lets the reviewer adjust each score from measured project data, with a note explaining why.</t>
  </si>
  <si>
    <t xml:space="preserve">Tabs</t>
  </si>
  <si>
    <t xml:space="preserve">Taxonomy and Risk: the main table. Yellow cells are inputs.</t>
  </si>
  <si>
    <t xml:space="preserve">Review First: every deficiency in rank order. Updates automatically.</t>
  </si>
  <si>
    <t xml:space="preserve">Summary by System: counts, Tier 1 items, and average risk per group. Updates automatically.</t>
  </si>
  <si>
    <t xml:space="preserve">Sources: the evidence register with links.</t>
  </si>
  <si>
    <t xml:space="preserve">Scales: severity weights, frequency evidence rules, and tier thresholds.</t>
  </si>
  <si>
    <t xml:space="preserve">Limits of this version</t>
  </si>
  <si>
    <t xml:space="preserve">A. Frequency reflects how often an item appears in published checklists and industry reporting, not a measured rate from reviewed projects. The next version will calibrate it with results from sample projects and pilot jurisdictions using the Field adjustment column.</t>
  </si>
  <si>
    <t xml:space="preserve">B. Sources are weighted toward residential PV, where public data is richest. Low scores for items such as EV load or arc energy reduction mean little published evidence, not proof that the problem is rare.</t>
  </si>
  <si>
    <t xml:space="preserve">C. Industry articles (S9 to S11) are commercial sources. Their counts are used, but figures they quote without citation (for example, a claimed 30% to 40% rejection share for PV conductor sizing) are not used as numeric inputs.</t>
  </si>
  <si>
    <t xml:space="preserve">D. Reference check column: 'Confirmed in source' means a listed source cites the same section for the same requirement. 'Needs check' means a standard section that should still be confirmed against the adopted edition before publication.</t>
  </si>
  <si>
    <t xml:space="preserve">E. No agency records were used. All data comes from public documents.</t>
  </si>
  <si>
    <t xml:space="preserve">Code editions referenced</t>
  </si>
  <si>
    <t xml:space="preserve">NEC 2023 (NFPA 70), the base of the 2025 California Electrical Code (Title 24, Part 3), effective January 1, 2026. Other Title 24 parts: Part 2 CBC, Part 2.5 CRC, Part 6 Energy Code, Part 9 CFC, Part 11 CALGreen. NFPA 72 and NFPA 110 where the electrical code does not set the requirement.</t>
  </si>
  <si>
    <t xml:space="preserve">The NEC column is the part of the model that transfers directly to any U.S. jurisdiction that adopts the NEC.</t>
  </si>
  <si>
    <t xml:space="preserve">Ohmsight deficiency taxonomy, evidence-based risk model, and code mapping</t>
  </si>
  <si>
    <t xml:space="preserve">Yellow = input. Frequency is scored from the published sources on the Sources tab; use Field adjustment only with a note. Code references are section numbers only.</t>
  </si>
  <si>
    <t xml:space="preserve">ID</t>
  </si>
  <si>
    <t xml:space="preserve">System</t>
  </si>
  <si>
    <t xml:space="preserve">Deficiency</t>
  </si>
  <si>
    <t xml:space="preserve">What the reviewer checks</t>
  </si>
  <si>
    <t xml:space="preserve">Severity category</t>
  </si>
  <si>
    <t xml:space="preserve">Severity score</t>
  </si>
  <si>
    <t xml:space="preserve">AHJ checklists citing</t>
  </si>
  <si>
    <t xml:space="preserve">Industry sources citing</t>
  </si>
  <si>
    <t xml:space="preserve">Named as top problem?</t>
  </si>
  <si>
    <t xml:space="preserve">Source IDs</t>
  </si>
  <si>
    <t xml:space="preserve">Evidence frequency</t>
  </si>
  <si>
    <t xml:space="preserve">Field adjustment</t>
  </si>
  <si>
    <t xml:space="preserve">Final frequency</t>
  </si>
  <si>
    <t xml:space="preserve">Risk score</t>
  </si>
  <si>
    <t xml:space="preserve">Priority tier</t>
  </si>
  <si>
    <t xml:space="preserve">Rank</t>
  </si>
  <si>
    <t xml:space="preserve">NEC 2023 reference</t>
  </si>
  <si>
    <t xml:space="preserve">California Title 24 / other reference</t>
  </si>
  <si>
    <t xml:space="preserve">Reference check</t>
  </si>
  <si>
    <t xml:space="preserve">Notes</t>
  </si>
  <si>
    <t xml:space="preserve">Sort key</t>
  </si>
  <si>
    <t xml:space="preserve">GD-01</t>
  </si>
  <si>
    <t xml:space="preserve">General documentation</t>
  </si>
  <si>
    <t xml:space="preserve">Wrong or outdated code edition cited on plans</t>
  </si>
  <si>
    <t xml:space="preserve">Code editions on cover sheet match the editions adopted by the jurisdiction</t>
  </si>
  <si>
    <t xml:space="preserve">Administrative</t>
  </si>
  <si>
    <t xml:space="preserve">No</t>
  </si>
  <si>
    <t xml:space="preserve">S10, S11</t>
  </si>
  <si>
    <t xml:space="preserve">90.4 (enforcement)</t>
  </si>
  <si>
    <t xml:space="preserve">Title 24 Part 3 CEC 2025 (NEC 2023 base)</t>
  </si>
  <si>
    <t xml:space="preserve">Confirmed in source (S14)</t>
  </si>
  <si>
    <t xml:space="preserve">GD-02</t>
  </si>
  <si>
    <t xml:space="preserve">One-line diagram missing required ratings or replaced by a riser diagram</t>
  </si>
  <si>
    <t xml:space="preserve">Conductors, OCPDs, disconnects, grounding, AIC and SCCR shown for service and feeders</t>
  </si>
  <si>
    <t xml:space="preserve">S4, S5, S6, S10</t>
  </si>
  <si>
    <t xml:space="preserve">None (submittal requirement)</t>
  </si>
  <si>
    <t xml:space="preserve">Part 2 CBC Ch. 1 construction documents; local submittal rules</t>
  </si>
  <si>
    <t xml:space="preserve">Needs check</t>
  </si>
  <si>
    <t xml:space="preserve">GD-03</t>
  </si>
  <si>
    <t xml:space="preserve">Resubmittal response letter does not address each correction</t>
  </si>
  <si>
    <t xml:space="preserve">Each correction answered with sheet and detail reference, not 'will comply'</t>
  </si>
  <si>
    <t xml:space="preserve">S4</t>
  </si>
  <si>
    <t xml:space="preserve">None (process item)</t>
  </si>
  <si>
    <t xml:space="preserve">Local plan check procedures</t>
  </si>
  <si>
    <t xml:space="preserve">Not a code section</t>
  </si>
  <si>
    <t xml:space="preserve">PV-01</t>
  </si>
  <si>
    <t xml:space="preserve">PV</t>
  </si>
  <si>
    <t xml:space="preserve">Maximum PV DC circuit voltage not calculated with low-temperature correction</t>
  </si>
  <si>
    <t xml:space="preserve">String Voc x temperature factor vs. inverter, module, and DC equipment ratings</t>
  </si>
  <si>
    <t xml:space="preserve">Fire</t>
  </si>
  <si>
    <t xml:space="preserve">S1</t>
  </si>
  <si>
    <t xml:space="preserve">690.7</t>
  </si>
  <si>
    <t xml:space="preserve">Part 3 CEC: same section</t>
  </si>
  <si>
    <t xml:space="preserve">Confirmed in source (S1)</t>
  </si>
  <si>
    <t xml:space="preserve">PV-02</t>
  </si>
  <si>
    <t xml:space="preserve">PV circuit conductors or overcurrent devices not sized with required continuous-current factors</t>
  </si>
  <si>
    <t xml:space="preserve">Isc x 125% x 125%, ampacity after correction and adjustment, OCPD rating</t>
  </si>
  <si>
    <t xml:space="preserve">Yes</t>
  </si>
  <si>
    <t xml:space="preserve">S1, S10, S11</t>
  </si>
  <si>
    <t xml:space="preserve">690.8; 690.9</t>
  </si>
  <si>
    <t xml:space="preserve">Part 3 CEC: same sections</t>
  </si>
  <si>
    <t xml:space="preserve">PV-03</t>
  </si>
  <si>
    <t xml:space="preserve">Rapid shutdown not specified or described only in vague notes</t>
  </si>
  <si>
    <t xml:space="preserve">Listed rapid shutdown method, initiation device location, array boundary</t>
  </si>
  <si>
    <t xml:space="preserve">Life safety</t>
  </si>
  <si>
    <t xml:space="preserve">S1, S11</t>
  </si>
  <si>
    <t xml:space="preserve">690.12; 690.56(C)</t>
  </si>
  <si>
    <t xml:space="preserve">PV-04</t>
  </si>
  <si>
    <t xml:space="preserve">Roof access pathways and setbacks for firefighters not shown</t>
  </si>
  <si>
    <t xml:space="preserve">Pathway widths, ridge setbacks, array layout on roof plan</t>
  </si>
  <si>
    <t xml:space="preserve">S1, S9, S11</t>
  </si>
  <si>
    <t xml:space="preserve">None (building and fire code item)</t>
  </si>
  <si>
    <t xml:space="preserve">Part 2 CBC 3111.3.4; Part 2.5 CRC R329.6</t>
  </si>
  <si>
    <t xml:space="preserve">PV-05</t>
  </si>
  <si>
    <t xml:space="preserve">Point of interconnection unclear or load-side connection exceeds busbar limits</t>
  </si>
  <si>
    <t xml:space="preserve">Load-side vs. supply-side clearly shown; 705.12(B)(3) option used and calculated</t>
  </si>
  <si>
    <t xml:space="preserve">S1, S9</t>
  </si>
  <si>
    <t xml:space="preserve">705.12(B)(3)</t>
  </si>
  <si>
    <t xml:space="preserve">PV-06</t>
  </si>
  <si>
    <t xml:space="preserve">Supply-side connection details incomplete</t>
  </si>
  <si>
    <t xml:space="preserve">Conductor sizing, OCPD, disconnect, and connection method ahead of service disconnect</t>
  </si>
  <si>
    <t xml:space="preserve">S9</t>
  </si>
  <si>
    <t xml:space="preserve">705.11</t>
  </si>
  <si>
    <t xml:space="preserve">PV-07</t>
  </si>
  <si>
    <t xml:space="preserve">PV disconnects not located, grouped, or identified as required</t>
  </si>
  <si>
    <t xml:space="preserve">AC and DC disconnect locations, grouping, AC disconnect within sight of inverter</t>
  </si>
  <si>
    <t xml:space="preserve">690.13; 690.15; 705.20</t>
  </si>
  <si>
    <t xml:space="preserve">PV-08</t>
  </si>
  <si>
    <t xml:space="preserve">Required PV labels and power source directory missing</t>
  </si>
  <si>
    <t xml:space="preserve">Label schedule and directory showing all power sources and disconnect locations</t>
  </si>
  <si>
    <t xml:space="preserve">690.13; 690.53; 690.56; 705.10</t>
  </si>
  <si>
    <t xml:space="preserve">PV-09</t>
  </si>
  <si>
    <t xml:space="preserve">DC arc-fault circuit protection not specified</t>
  </si>
  <si>
    <t xml:space="preserve">Listed PV arc-fault protection for DC circuits at 80 V or more</t>
  </si>
  <si>
    <t xml:space="preserve">690.11</t>
  </si>
  <si>
    <t xml:space="preserve">PV-10</t>
  </si>
  <si>
    <t xml:space="preserve">PV grounding and bonding not detailed</t>
  </si>
  <si>
    <t xml:space="preserve">Array and racking bonding (e.g., UL 2703 racking), GEC sizing and connection</t>
  </si>
  <si>
    <t xml:space="preserve">S1, S10</t>
  </si>
  <si>
    <t xml:space="preserve">690.41; 690.43; 690.47; 250.66</t>
  </si>
  <si>
    <t xml:space="preserve">PV-11</t>
  </si>
  <si>
    <t xml:space="preserve">Wiring methods for exposed or ground-mounted PV conductors not specified</t>
  </si>
  <si>
    <t xml:space="preserve">Raceway or enclosure, or fencing with bonding, for accessible conductors</t>
  </si>
  <si>
    <t xml:space="preserve">690.31</t>
  </si>
  <si>
    <t xml:space="preserve">PV-12</t>
  </si>
  <si>
    <t xml:space="preserve">Equipment details mismatched across sheets or cut sheets missing</t>
  </si>
  <si>
    <t xml:space="preserve">Inverter and module models, specs, and listings match across SLD, schedules, and cut sheets</t>
  </si>
  <si>
    <t xml:space="preserve">S1, S9, S10, S11</t>
  </si>
  <si>
    <t xml:space="preserve">110.3(B)</t>
  </si>
  <si>
    <t xml:space="preserve">PV-13</t>
  </si>
  <si>
    <t xml:space="preserve">Energy Code PV sizing requirement not met on new construction</t>
  </si>
  <si>
    <t xml:space="preserve">PV capacity and solar access roof area vs. compliance documents</t>
  </si>
  <si>
    <t xml:space="preserve">S1, S2</t>
  </si>
  <si>
    <t xml:space="preserve">None (energy code item)</t>
  </si>
  <si>
    <t xml:space="preserve">Part 6 Energy Code 150.1(c)14 residential; 140.10 nonresidential (verify)</t>
  </si>
  <si>
    <t xml:space="preserve">Confirmed in source for 150.1(c)14 (S1, S2)</t>
  </si>
  <si>
    <t xml:space="preserve">ES-01</t>
  </si>
  <si>
    <t xml:space="preserve">Energy storage</t>
  </si>
  <si>
    <t xml:space="preserve">ESS disconnecting means missing or not located as required</t>
  </si>
  <si>
    <t xml:space="preserve">Disconnect location, lockability, and emergency shutdown initiation for dwellings</t>
  </si>
  <si>
    <t xml:space="preserve">706.15</t>
  </si>
  <si>
    <t xml:space="preserve">Confirmed in source (S1, S12)</t>
  </si>
  <si>
    <t xml:space="preserve">ES-02</t>
  </si>
  <si>
    <t xml:space="preserve">ESS installed in a location or quantity not permitted</t>
  </si>
  <si>
    <t xml:space="preserve">Non-habitable location, aggregate capacity, separation from openings</t>
  </si>
  <si>
    <t xml:space="preserve">706.10</t>
  </si>
  <si>
    <t xml:space="preserve">Part 2.5 CRC R328.4; Part 9 CFC 1207</t>
  </si>
  <si>
    <t xml:space="preserve">Confirmed in source (S1, S16)</t>
  </si>
  <si>
    <t xml:space="preserve">ES-03</t>
  </si>
  <si>
    <t xml:space="preserve">Physical damage or vehicle impact protection for ESS not shown</t>
  </si>
  <si>
    <t xml:space="preserve">Bollards, barriers, or elevation where exposed to vehicles</t>
  </si>
  <si>
    <t xml:space="preserve">110.27(B)</t>
  </si>
  <si>
    <t xml:space="preserve">Part 2.5 CRC R328 (verify subsection)</t>
  </si>
  <si>
    <t xml:space="preserve">Confirmed in source for 110.27(B) (S1)</t>
  </si>
  <si>
    <t xml:space="preserve">ES-04</t>
  </si>
  <si>
    <t xml:space="preserve">ESS circuit sizing or overcurrent protection incorrect, including conductors passing through walls</t>
  </si>
  <si>
    <t xml:space="preserve">Circuit current basis, ampacity, OCPD location where conductors pass through walls or floors</t>
  </si>
  <si>
    <t xml:space="preserve">706.30; 706.31(F)</t>
  </si>
  <si>
    <t xml:space="preserve">Confirmed in source for 706.31(F) (S1)</t>
  </si>
  <si>
    <t xml:space="preserve">ES-05</t>
  </si>
  <si>
    <t xml:space="preserve">ESS or inverter listing not documented</t>
  </si>
  <si>
    <t xml:space="preserve">UL 9540 system listing, UL 1973 batteries, UL 1741 SA/SB inverters</t>
  </si>
  <si>
    <t xml:space="preserve">706.5 (verify)</t>
  </si>
  <si>
    <t xml:space="preserve">Part 2.5 CRC R328.2</t>
  </si>
  <si>
    <t xml:space="preserve">Confirmed in source for R328.2 (S1)</t>
  </si>
  <si>
    <t xml:space="preserve">ES-06</t>
  </si>
  <si>
    <t xml:space="preserve">Power control system listing or settings not documented</t>
  </si>
  <si>
    <t xml:space="preserve">Listed PCS and configured current limits protecting busbars and conductors</t>
  </si>
  <si>
    <t xml:space="preserve">705.13</t>
  </si>
  <si>
    <t xml:space="preserve">ES-07</t>
  </si>
  <si>
    <t xml:space="preserve">Battery storage or battery-ready requirements not shown for new dwellings</t>
  </si>
  <si>
    <t xml:space="preserve">BESS provided, or BESS-ready interconnection equipment or raceway, where service exceeds 125 A</t>
  </si>
  <si>
    <t xml:space="preserve">Part 6 Energy Code 150.0(s)</t>
  </si>
  <si>
    <t xml:space="preserve">Confirmed in source (S1, S2)</t>
  </si>
  <si>
    <t xml:space="preserve">EM-01</t>
  </si>
  <si>
    <t xml:space="preserve">Emergency and standby</t>
  </si>
  <si>
    <t xml:space="preserve">Emergency or standby system not classified by article (700, 701, or 702)</t>
  </si>
  <si>
    <t xml:space="preserve">Each generator and transfer switch labeled with its NEC article on the one-line</t>
  </si>
  <si>
    <t xml:space="preserve">700; 701; 702</t>
  </si>
  <si>
    <t xml:space="preserve">Part 3 CEC: same articles</t>
  </si>
  <si>
    <t xml:space="preserve">Confirmed in source (S4)</t>
  </si>
  <si>
    <t xml:space="preserve">EM-02</t>
  </si>
  <si>
    <t xml:space="preserve">Emergency wiring not kept independent of other wiring</t>
  </si>
  <si>
    <t xml:space="preserve">Separate raceways, boxes, and enclosures for emergency circuits</t>
  </si>
  <si>
    <t xml:space="preserve">700.10(B)</t>
  </si>
  <si>
    <t xml:space="preserve">EM-03</t>
  </si>
  <si>
    <t xml:space="preserve">Fire protection of emergency feeders not provided where required</t>
  </si>
  <si>
    <t xml:space="preserve">Feeder protection method in qualifying occupancies</t>
  </si>
  <si>
    <t xml:space="preserve">None found</t>
  </si>
  <si>
    <t xml:space="preserve">700.10(D)</t>
  </si>
  <si>
    <t xml:space="preserve">EM-04</t>
  </si>
  <si>
    <t xml:space="preserve">Selective coordination not demonstrated</t>
  </si>
  <si>
    <t xml:space="preserve">Coordination study for emergency, legally required, elevator, and health care systems</t>
  </si>
  <si>
    <t xml:space="preserve">S4, S8</t>
  </si>
  <si>
    <t xml:space="preserve">700.32; 701.32; 620.62; 517.17</t>
  </si>
  <si>
    <t xml:space="preserve">Confirmed in source (S4, S8)</t>
  </si>
  <si>
    <t xml:space="preserve">EM-05</t>
  </si>
  <si>
    <t xml:space="preserve">Emergency source capacity not justified for connected loads</t>
  </si>
  <si>
    <t xml:space="preserve">Load calculation and source sizing for all connected emergency loads</t>
  </si>
  <si>
    <t xml:space="preserve">S5</t>
  </si>
  <si>
    <t xml:space="preserve">700.4; 701.4</t>
  </si>
  <si>
    <t xml:space="preserve">Part 3 CEC: same sections; Part 2 CBC 2702</t>
  </si>
  <si>
    <t xml:space="preserve">EM-06</t>
  </si>
  <si>
    <t xml:space="preserve">Optional standby with automatic transfer sized without a load calculation</t>
  </si>
  <si>
    <t xml:space="preserve">Generator capacity vs. calculated load, or listed load management</t>
  </si>
  <si>
    <t xml:space="preserve">Equipment</t>
  </si>
  <si>
    <t xml:space="preserve">702.4(B)</t>
  </si>
  <si>
    <t xml:space="preserve">EM-07</t>
  </si>
  <si>
    <t xml:space="preserve">Transfer equipment or generator disconnecting means not shown</t>
  </si>
  <si>
    <t xml:space="preserve">Transfer switch listing and arrangement, generator disconnect</t>
  </si>
  <si>
    <t xml:space="preserve">700.5; 701.5; 702.5; 445.18</t>
  </si>
  <si>
    <t xml:space="preserve">EM-08</t>
  </si>
  <si>
    <t xml:space="preserve">Means of egress illumination coverage or source not shown</t>
  </si>
  <si>
    <t xml:space="preserve">Photometrics or compliance form, unit equipment or generator source, duration</t>
  </si>
  <si>
    <t xml:space="preserve">S4, S5, S6</t>
  </si>
  <si>
    <t xml:space="preserve">700.16</t>
  </si>
  <si>
    <t xml:space="preserve">Part 2 CBC 1008</t>
  </si>
  <si>
    <t xml:space="preserve">Confirmed in source for CBC/IBC 1008 (S5)</t>
  </si>
  <si>
    <t xml:space="preserve">EM-09</t>
  </si>
  <si>
    <t xml:space="preserve">Emergency shutdown for dwelling generators not shown</t>
  </si>
  <si>
    <t xml:space="preserve">Outdoor emergency shutdown initiation for one- and two-family dwelling generators</t>
  </si>
  <si>
    <t xml:space="preserve">445.19(C)</t>
  </si>
  <si>
    <t xml:space="preserve">Confirmed in source (S13)</t>
  </si>
  <si>
    <t xml:space="preserve">EM-10</t>
  </si>
  <si>
    <t xml:space="preserve">Signs identifying on-site power sources missing</t>
  </si>
  <si>
    <t xml:space="preserve">Signs at service equipment for emergency and standby sources</t>
  </si>
  <si>
    <t xml:space="preserve">700.7; 701.7; 702.7</t>
  </si>
  <si>
    <t xml:space="preserve">EM-11</t>
  </si>
  <si>
    <t xml:space="preserve">Emergency equipment not protected from fire, flood, or vandalism</t>
  </si>
  <si>
    <t xml:space="preserve">Generator room rating, location, and separation of emergency equipment</t>
  </si>
  <si>
    <t xml:space="preserve">700.12; 701.12</t>
  </si>
  <si>
    <t xml:space="preserve">Part 2 CBC 2702; NFPA 110</t>
  </si>
  <si>
    <t xml:space="preserve">FA-01</t>
  </si>
  <si>
    <t xml:space="preserve">Fire alarm</t>
  </si>
  <si>
    <t xml:space="preserve">Secondary power (battery) calculations missing or insufficient</t>
  </si>
  <si>
    <t xml:space="preserve">24-hour standby plus alarm duration, with aging factor</t>
  </si>
  <si>
    <t xml:space="preserve">S3, S7</t>
  </si>
  <si>
    <t xml:space="preserve">None (NFPA 72 item)</t>
  </si>
  <si>
    <t xml:space="preserve">NFPA 72 10.6.7; Part 9 CFC 907</t>
  </si>
  <si>
    <t xml:space="preserve">Confirmed in source (S3)</t>
  </si>
  <si>
    <t xml:space="preserve">FA-02</t>
  </si>
  <si>
    <t xml:space="preserve">Notification appliance circuit voltage drop calculations missing</t>
  </si>
  <si>
    <t xml:space="preserve">End-of-line voltage using degraded battery voltage vs. appliance range</t>
  </si>
  <si>
    <t xml:space="preserve">NFPA 72 (NAC); Part 9 CFC 907</t>
  </si>
  <si>
    <t xml:space="preserve">FA-03</t>
  </si>
  <si>
    <t xml:space="preserve">Fire alarm branch circuit not dedicated, identified, or secured</t>
  </si>
  <si>
    <t xml:space="preserve">Dedicated circuit, red marking, lockable disconnect, location identified at panel</t>
  </si>
  <si>
    <t xml:space="preserve">S3</t>
  </si>
  <si>
    <t xml:space="preserve">760.41; 760.121</t>
  </si>
  <si>
    <t xml:space="preserve">Part 3 CEC: same sections; Part 9 CFC 907</t>
  </si>
  <si>
    <t xml:space="preserve">FA-04</t>
  </si>
  <si>
    <t xml:space="preserve">Fire alarm cable types or wire sizes not identified</t>
  </si>
  <si>
    <t xml:space="preserve">Cable types for plenum and riser spaces; wire gauges on riser diagram</t>
  </si>
  <si>
    <t xml:space="preserve">S7</t>
  </si>
  <si>
    <t xml:space="preserve">760.135; 760.154</t>
  </si>
  <si>
    <t xml:space="preserve">FA-05</t>
  </si>
  <si>
    <t xml:space="preserve">Power-limited fire alarm circuits not separated from power circuits</t>
  </si>
  <si>
    <t xml:space="preserve">Separation or barriers from light, power, and Class 1 circuits</t>
  </si>
  <si>
    <t xml:space="preserve">760.136</t>
  </si>
  <si>
    <t xml:space="preserve">FA-06</t>
  </si>
  <si>
    <t xml:space="preserve">Pathway class or survivability not specified</t>
  </si>
  <si>
    <t xml:space="preserve">Pathway class designations and survivability for relocation or partial evacuation</t>
  </si>
  <si>
    <t xml:space="preserve">728 (where fire-resistive cable used)</t>
  </si>
  <si>
    <t xml:space="preserve">NFPA 72 Ch. 12 (pathway class and survivability)</t>
  </si>
  <si>
    <t xml:space="preserve">Confirmed in source for NFPA 72 Ch. 12 (S3)</t>
  </si>
  <si>
    <t xml:space="preserve">SD-01</t>
  </si>
  <si>
    <t xml:space="preserve">Service and distribution</t>
  </si>
  <si>
    <t xml:space="preserve">Available fault current not shown, or equipment ratings below it</t>
  </si>
  <si>
    <t xml:space="preserve">Utility fault current letter, fault calcs to all equipment, AIC and SCCR, field marking</t>
  </si>
  <si>
    <t xml:space="preserve">S4, S5, S6, S8, S10</t>
  </si>
  <si>
    <t xml:space="preserve">110.9; 110.10; 110.24</t>
  </si>
  <si>
    <t xml:space="preserve">SD-02</t>
  </si>
  <si>
    <t xml:space="preserve">Working space or dedicated equipment space insufficient</t>
  </si>
  <si>
    <t xml:space="preserve">Clearances, dedicated space, obstructions, and egress shown on plans</t>
  </si>
  <si>
    <t xml:space="preserve">110.26</t>
  </si>
  <si>
    <t xml:space="preserve">Confirmed in source (S4, S5)</t>
  </si>
  <si>
    <t xml:space="preserve">SD-03</t>
  </si>
  <si>
    <t xml:space="preserve">Panel schedules incomplete or panelboard rating inadequate</t>
  </si>
  <si>
    <t xml:space="preserve">Voltage, phase, bus rating, AIC, loads in A or kVA, main protection</t>
  </si>
  <si>
    <t xml:space="preserve">408.36</t>
  </si>
  <si>
    <t xml:space="preserve">SD-04</t>
  </si>
  <si>
    <t xml:space="preserve">Conductor ampacity wrong after correction, adjustment, or terminal limits</t>
  </si>
  <si>
    <t xml:space="preserve">Ampacity table, correction and adjustment factors, terminal temperature, OCPD</t>
  </si>
  <si>
    <t xml:space="preserve">S4, S5, S10</t>
  </si>
  <si>
    <t xml:space="preserve">310.16; 240.4; 110.14(C)</t>
  </si>
  <si>
    <t xml:space="preserve">Confirmed in source (S5)</t>
  </si>
  <si>
    <t xml:space="preserve">SD-05</t>
  </si>
  <si>
    <t xml:space="preserve">Grounding and bonding details or conductor sizes missing</t>
  </si>
  <si>
    <t xml:space="preserve">GEC and EGC sizes, electrodes, bonding, separately derived systems</t>
  </si>
  <si>
    <t xml:space="preserve">250.50; 250.52; 250.66; 250.122; 250.30</t>
  </si>
  <si>
    <t xml:space="preserve">SD-06</t>
  </si>
  <si>
    <t xml:space="preserve">GFCI or AFCI protection not shown where required</t>
  </si>
  <si>
    <t xml:space="preserve">Protected locations and device types on power plans and panel schedules</t>
  </si>
  <si>
    <t xml:space="preserve">S5, S6</t>
  </si>
  <si>
    <t xml:space="preserve">210.8; 210.12</t>
  </si>
  <si>
    <t xml:space="preserve">Confirmed in source for 210.8 (S5)</t>
  </si>
  <si>
    <t xml:space="preserve">SD-07</t>
  </si>
  <si>
    <t xml:space="preserve">Ground-fault protection of equipment not provided where required</t>
  </si>
  <si>
    <t xml:space="preserve">GFPE on qualifying services and feeders</t>
  </si>
  <si>
    <t xml:space="preserve">230.95; 215.10</t>
  </si>
  <si>
    <t xml:space="preserve">SD-08</t>
  </si>
  <si>
    <t xml:space="preserve">Multiple services or building disconnects not permitted or not identified</t>
  </si>
  <si>
    <t xml:space="preserve">Number of services and disconnects, grouping, and marking</t>
  </si>
  <si>
    <t xml:space="preserve">230.2; 230.70; 230.71; 225.31</t>
  </si>
  <si>
    <t xml:space="preserve">SD-09</t>
  </si>
  <si>
    <t xml:space="preserve">Transformer protection or secondary conductor rules not met</t>
  </si>
  <si>
    <t xml:space="preserve">Primary and secondary OCPD, secondary conductor length and protection</t>
  </si>
  <si>
    <t xml:space="preserve">S6</t>
  </si>
  <si>
    <t xml:space="preserve">450.3; 240.21(C)</t>
  </si>
  <si>
    <t xml:space="preserve">SD-10</t>
  </si>
  <si>
    <t xml:space="preserve">Arc energy reduction not provided for large overcurrent devices</t>
  </si>
  <si>
    <t xml:space="preserve">Arc energy reduction method for devices rated 1200 A and above</t>
  </si>
  <si>
    <t xml:space="preserve">240.87</t>
  </si>
  <si>
    <t xml:space="preserve">SD-11</t>
  </si>
  <si>
    <t xml:space="preserve">Surge protection for dwelling services not shown</t>
  </si>
  <si>
    <t xml:space="preserve">Type 1 or Type 2 SPD at dwelling service equipment</t>
  </si>
  <si>
    <t xml:space="preserve">230.67</t>
  </si>
  <si>
    <t xml:space="preserve">SD-12</t>
  </si>
  <si>
    <t xml:space="preserve">Outdoor emergency disconnect for one- and two-family dwellings not shown</t>
  </si>
  <si>
    <t xml:space="preserve">Readily accessible outdoor emergency disconnect and marking</t>
  </si>
  <si>
    <t xml:space="preserve">230.85</t>
  </si>
  <si>
    <t xml:space="preserve">LC-01</t>
  </si>
  <si>
    <t xml:space="preserve">Load calculations</t>
  </si>
  <si>
    <t xml:space="preserve">Service or feeder load calculation missing or demand factors not shown</t>
  </si>
  <si>
    <t xml:space="preserve">Article 220 method, demand factor breakdown by load type, resulting service size</t>
  </si>
  <si>
    <t xml:space="preserve">Article 220; Annex D</t>
  </si>
  <si>
    <t xml:space="preserve">Part 3 CEC: same</t>
  </si>
  <si>
    <t xml:space="preserve">LC-02</t>
  </si>
  <si>
    <t xml:space="preserve">Existing load not determined correctly for additions or renovations</t>
  </si>
  <si>
    <t xml:space="preserve">Existing plus new loads; 12-month demand data or other permitted method</t>
  </si>
  <si>
    <t xml:space="preserve">220.87</t>
  </si>
  <si>
    <t xml:space="preserve">LC-03</t>
  </si>
  <si>
    <t xml:space="preserve">Special loads (sign, track, show window) not included</t>
  </si>
  <si>
    <t xml:space="preserve">Sign circuit and load, track lighting and show window loads</t>
  </si>
  <si>
    <t xml:space="preserve">600.5(A); 220.14(F); 220.46</t>
  </si>
  <si>
    <t xml:space="preserve">LC-04</t>
  </si>
  <si>
    <t xml:space="preserve">EV charging load omitted or circuit not sized for continuous load</t>
  </si>
  <si>
    <t xml:space="preserve">EVSE load in calculation, dedicated branch circuit, 125% sizing</t>
  </si>
  <si>
    <t xml:space="preserve">220.57; 625.40; 625.41</t>
  </si>
  <si>
    <t xml:space="preserve">LC-05</t>
  </si>
  <si>
    <t xml:space="preserve">Energy management system used to reduce load without listing or settings</t>
  </si>
  <si>
    <t xml:space="preserve">Listed EMS, set points, and how they limit load</t>
  </si>
  <si>
    <t xml:space="preserve">220.70; 750.30; 625.42</t>
  </si>
  <si>
    <t xml:space="preserve">LC-06</t>
  </si>
  <si>
    <t xml:space="preserve">Multifamily optional calculation misapplied</t>
  </si>
  <si>
    <t xml:space="preserve">Eligibility conditions and demand factors for the optional method</t>
  </si>
  <si>
    <t xml:space="preserve">220.84</t>
  </si>
  <si>
    <t xml:space="preserve">LC-07</t>
  </si>
  <si>
    <t xml:space="preserve">EV capable or EV ready requirements not shown</t>
  </si>
  <si>
    <t xml:space="preserve">Required EV spaces, raceways, panel capacity, and circuits</t>
  </si>
  <si>
    <t xml:space="preserve">None (green building code item)</t>
  </si>
  <si>
    <t xml:space="preserve">Part 11 CALGreen 4.106.4 (residential, verify); 5.106.5.3 (nonresidential)</t>
  </si>
  <si>
    <t xml:space="preserve">Confirmed in source for 5.106.5.3 (S15)</t>
  </si>
  <si>
    <t xml:space="preserve">LC-08</t>
  </si>
  <si>
    <t xml:space="preserve">Electric-ready requirements (heat pump, cooktop, dryer) not shown</t>
  </si>
  <si>
    <t xml:space="preserve">Dedicated circuits, panel space, and labeling for future electric appliances</t>
  </si>
  <si>
    <t xml:space="preserve">Part 6 Energy Code 150.0 electric-ready provisions (verify subsections)</t>
  </si>
  <si>
    <t xml:space="preserve">Review-first order</t>
  </si>
  <si>
    <t xml:space="preserve">Sorted automatically by risk score; ties broken by severity, then evidence. Change inputs on Taxonomy and Risk, not here.</t>
  </si>
  <si>
    <t xml:space="preserve">Summary by system</t>
  </si>
  <si>
    <t xml:space="preserve">Deficiencies</t>
  </si>
  <si>
    <t xml:space="preserve">Tier 1 items</t>
  </si>
  <si>
    <t xml:space="preserve">Life-safety items</t>
  </si>
  <si>
    <t xml:space="preserve">Average risk score</t>
  </si>
  <si>
    <t xml:space="preserve">Highest risk score</t>
  </si>
  <si>
    <t xml:space="preserve">References confirmed in source</t>
  </si>
  <si>
    <t xml:space="preserve">All systems</t>
  </si>
  <si>
    <t xml:space="preserve">Evidence register</t>
  </si>
  <si>
    <t xml:space="preserve">Public documents only. S1 to S8 count toward AHJ or industry evidence as typed; S12 to S16 were used only to confirm code section numbers.</t>
  </si>
  <si>
    <t xml:space="preserve">Title</t>
  </si>
  <si>
    <t xml:space="preserve">Publisher</t>
  </si>
  <si>
    <t xml:space="preserve">Type</t>
  </si>
  <si>
    <t xml:space="preserve">Year</t>
  </si>
  <si>
    <t xml:space="preserve">Link</t>
  </si>
  <si>
    <t xml:space="preserve">Times cited in model</t>
  </si>
  <si>
    <t xml:space="preserve">Solar PV System Plan Review List (2026 v1.0)</t>
  </si>
  <si>
    <t xml:space="preserve">County of Los Angeles Public Works, Building and Safety</t>
  </si>
  <si>
    <t xml:space="preserve">AHJ checklist (CA)</t>
  </si>
  <si>
    <t xml:space="preserve">2026</t>
  </si>
  <si>
    <t xml:space="preserve">https://dpw.lacounty.gov/bsd/lib/fp/Building/Solar%20Review/Solar%20PV%20System%20Plan%20Review%20List_2025_v1.0.pdf</t>
  </si>
  <si>
    <t xml:space="preserve">S2</t>
  </si>
  <si>
    <t xml:space="preserve">SFD Energy Correction List (2025 v1.0)</t>
  </si>
  <si>
    <t xml:space="preserve">2025</t>
  </si>
  <si>
    <t xml:space="preserve">https://pw.lacounty.gov/bsd/lib/fp/Building/Residential/SFD%20Energy%20Correction%20List_2025_V1.0.pdf</t>
  </si>
  <si>
    <t xml:space="preserve">PRC-07F Plan Review Checklist: Fire Alarm Systems</t>
  </si>
  <si>
    <t xml:space="preserve">City of Long Beach Development Services</t>
  </si>
  <si>
    <t xml:space="preserve">https://longbeach.gov/globalassets/lbcd/media-library/documents/formsapplications/plan-review-checklists-prc/prc-07f-plan-review-checklist---fire-alarms-systems</t>
  </si>
  <si>
    <t xml:space="preserve">Electrical Plan Review Requirements (rev. 01-18-2025)</t>
  </si>
  <si>
    <t xml:space="preserve">City of Richmond, Virginia</t>
  </si>
  <si>
    <t xml:space="preserve">AHJ checklist (VA)</t>
  </si>
  <si>
    <t xml:space="preserve">https://www.rva.gov/sites/default/files/2025-02/Electrical-Handout_0.pdf</t>
  </si>
  <si>
    <t xml:space="preserve">Electrical Plan Review Checklist</t>
  </si>
  <si>
    <t xml:space="preserve">City of Phoenix Planning and Development</t>
  </si>
  <si>
    <t xml:space="preserve">AHJ checklist (AZ)</t>
  </si>
  <si>
    <t xml:space="preserve">n.d.</t>
  </si>
  <si>
    <t xml:space="preserve">https://www.phoenix.gov/content/dam/phoenix/pddsite/documents/trt/external/dsd_trt_pdf_00710.pdf</t>
  </si>
  <si>
    <t xml:space="preserve">Electrical Plan Review Requirements</t>
  </si>
  <si>
    <t xml:space="preserve">International Code Council</t>
  </si>
  <si>
    <t xml:space="preserve">National code body checklist</t>
  </si>
  <si>
    <t xml:space="preserve">https://www.iccsafe.org/wp-content/uploads/PR-Elec-Req.pdf</t>
  </si>
  <si>
    <t xml:space="preserve">Fire Alarm Plan Submittal Guidelines</t>
  </si>
  <si>
    <t xml:space="preserve">Wisconsin Dept. of Safety and Professional Services</t>
  </si>
  <si>
    <t xml:space="preserve">AHJ checklist (WI)</t>
  </si>
  <si>
    <t xml:space="preserve">https://dsps.wi.gov/Documents/Programs/FireSuppressAlarm/FireAlarmSubmittalGuidelines.pdf</t>
  </si>
  <si>
    <t xml:space="preserve">S8</t>
  </si>
  <si>
    <t xml:space="preserve">Electrical Plan Review (application note)</t>
  </si>
  <si>
    <t xml:space="preserve">Eaton Bussmann</t>
  </si>
  <si>
    <t xml:space="preserve">Industry technical guide</t>
  </si>
  <si>
    <t xml:space="preserve">https://www.eaton.com/content/dam/eaton/products/electrical-circuit-protection/fuses/technical-literature/bus-ele-an-3015-electrical-plan-review.pdf</t>
  </si>
  <si>
    <t xml:space="preserve">A Guide to PV Plan Sets and Critical Mistakes to Avoid</t>
  </si>
  <si>
    <t xml:space="preserve">GreenLancer (plan set provider, 200,000+ projects)</t>
  </si>
  <si>
    <t xml:space="preserve">Industry article</t>
  </si>
  <si>
    <t xml:space="preserve">https://www.greenlancer.com/post/solar-plan-sets</t>
  </si>
  <si>
    <t xml:space="preserve">S10</t>
  </si>
  <si>
    <t xml:space="preserve">Why Most Electrical Permit Drawings Get Rejected</t>
  </si>
  <si>
    <t xml:space="preserve">MHL Consulting</t>
  </si>
  <si>
    <t xml:space="preserve">https://www.mhlconsulting.co/post/why-most-electrical-permit-drawings-get-rejected-and-how-to-fix-it</t>
  </si>
  <si>
    <t xml:space="preserve">S11</t>
  </si>
  <si>
    <t xml:space="preserve">Solar Permit Rejections: 12 Reasons AHJs Send Plans Back</t>
  </si>
  <si>
    <t xml:space="preserve">Energyscape Renewables</t>
  </si>
  <si>
    <t xml:space="preserve">https://energyscaperenewables.com/post/solar-permit-rejections-2026/</t>
  </si>
  <si>
    <t xml:space="preserve">S12</t>
  </si>
  <si>
    <t xml:space="preserve">2023 NEC Updates for Energy Storage Systems</t>
  </si>
  <si>
    <t xml:space="preserve">Mayfield Renewables</t>
  </si>
  <si>
    <t xml:space="preserve">Code reference</t>
  </si>
  <si>
    <t xml:space="preserve">https://www.mayfield.energy/technical-articles/2023-nec-updates-for-energy-storage-systems/</t>
  </si>
  <si>
    <t xml:space="preserve">S13</t>
  </si>
  <si>
    <t xml:space="preserve">Emergency Shutdown of Generator Prime Mover</t>
  </si>
  <si>
    <t xml:space="preserve">Leviton Captain Code 2023</t>
  </si>
  <si>
    <t xml:space="preserve">2023</t>
  </si>
  <si>
    <t xml:space="preserve">https://captaincode2023.leviton.com/node/349</t>
  </si>
  <si>
    <t xml:space="preserve">S14</t>
  </si>
  <si>
    <t xml:space="preserve">California Electrical Code 2025 (based on NFPA 70, 2023)</t>
  </si>
  <si>
    <t xml:space="preserve">UpCodes</t>
  </si>
  <si>
    <t xml:space="preserve">https://up.codes/viewer/california/ca-electric-code-2025</t>
  </si>
  <si>
    <t xml:space="preserve">S15</t>
  </si>
  <si>
    <t xml:space="preserve">2025 CALGreen 5.106.5.3 Electric vehicle charging</t>
  </si>
  <si>
    <t xml:space="preserve">https://codes.iccsafe.org/s/CAGBC2025P1/chapter-5-nonresidential-mandatory-measures/CAGBC2025P1-Ch05-SubCh5.1-Sec5.106.5.3</t>
  </si>
  <si>
    <t xml:space="preserve">S16</t>
  </si>
  <si>
    <t xml:space="preserve">706.10 Energy Storage System Locations</t>
  </si>
  <si>
    <t xml:space="preserve">https://up.codes/s/energy-storage-system-locations</t>
  </si>
  <si>
    <t xml:space="preserve">Scales and settings</t>
  </si>
  <si>
    <t xml:space="preserve">Yellow cells are adjustable. All scores reference these cells.</t>
  </si>
  <si>
    <t xml:space="preserve">Score</t>
  </si>
  <si>
    <t xml:space="preserve">Meaning</t>
  </si>
  <si>
    <t xml:space="preserve">Failure could injure or kill occupants, workers, or first responders</t>
  </si>
  <si>
    <t xml:space="preserve">Failure could start or spread a fire or cause major property damage</t>
  </si>
  <si>
    <t xml:space="preserve">Failure could damage equipment or cause outages, with limited safety impact</t>
  </si>
  <si>
    <t xml:space="preserve">Documentation, labeling, or compliance gap; mainly causes resubmittals</t>
  </si>
  <si>
    <t xml:space="preserve">Evidence frequency score</t>
  </si>
  <si>
    <t xml:space="preserve">Rule (applied in order)</t>
  </si>
  <si>
    <t xml:space="preserve">Plain meaning</t>
  </si>
  <si>
    <t xml:space="preserve">Named as a top or most-overlooked problem by a source, and cited by 2 or more sources in total</t>
  </si>
  <si>
    <t xml:space="preserve">Widely reported as a leading cause of corrections</t>
  </si>
  <si>
    <t xml:space="preserve">Cited by at least 1 industry source and 1 AHJ checklist, or by 3 or more AHJ checklists</t>
  </si>
  <si>
    <t xml:space="preserve">Commonly flagged across jurisdictions</t>
  </si>
  <si>
    <t xml:space="preserve">Cited by 2 AHJ checklists, or by at least 1 industry source</t>
  </si>
  <si>
    <t xml:space="preserve">Regularly flagged</t>
  </si>
  <si>
    <t xml:space="preserve">Cited by 1 AHJ checklist</t>
  </si>
  <si>
    <t xml:space="preserve">Recognized review item</t>
  </si>
  <si>
    <t xml:space="preserve">Code requirement with no published frequency signal found</t>
  </si>
  <si>
    <t xml:space="preserve">Not documented as common; calibrate with field data</t>
  </si>
  <si>
    <t xml:space="preserve">Minimum risk score</t>
  </si>
  <si>
    <t xml:space="preserve">Tier 1: Review first</t>
  </si>
  <si>
    <t xml:space="preserve">Check on every submittal before anything else</t>
  </si>
  <si>
    <t xml:space="preserve">Tier 2: Standard</t>
  </si>
  <si>
    <t xml:space="preserve">Check on every submittal in normal order</t>
  </si>
  <si>
    <t xml:space="preserve">Tier 3: Spot check</t>
  </si>
  <si>
    <t xml:space="preserve">Check when the project type makes it relevant</t>
  </si>
  <si>
    <t xml:space="preserve">Final frequency = evidence score + field adjustment, kept between 1 and 5. Life safety is weighted well above administrative items so that a frequent paperwork gap cannot outrank a comparable life-safety gap.</t>
  </si>
</sst>
</file>

<file path=xl/styles.xml><?xml version="1.0" encoding="utf-8"?>
<styleSheet xmlns="http://schemas.openxmlformats.org/spreadsheetml/2006/main">
  <numFmts count="3">
    <numFmt numFmtId="164" formatCode="General"/>
    <numFmt numFmtId="165" formatCode="General"/>
    <numFmt numFmtId="166" formatCode="0.0"/>
  </numFmts>
  <fonts count="13">
    <font>
      <sz val="11"/>
      <color theme="1"/>
      <name val="Calibri"/>
      <family val="2"/>
      <charset val="1"/>
    </font>
    <font>
      <sz val="10"/>
      <name val="Arial"/>
      <family val="0"/>
    </font>
    <font>
      <sz val="10"/>
      <name val="Arial"/>
      <family val="0"/>
    </font>
    <font>
      <sz val="10"/>
      <name val="Arial"/>
      <family val="0"/>
    </font>
    <font>
      <b val="true"/>
      <sz val="16"/>
      <color rgb="FF1F4E79"/>
      <name val="Arial"/>
      <family val="0"/>
      <charset val="1"/>
    </font>
    <font>
      <i val="true"/>
      <sz val="10"/>
      <color rgb="FF595959"/>
      <name val="Arial"/>
      <family val="0"/>
      <charset val="1"/>
    </font>
    <font>
      <b val="true"/>
      <sz val="12"/>
      <color rgb="FF1F4E79"/>
      <name val="Arial"/>
      <family val="0"/>
      <charset val="1"/>
    </font>
    <font>
      <sz val="10"/>
      <name val="Arial"/>
      <family val="0"/>
      <charset val="1"/>
    </font>
    <font>
      <b val="true"/>
      <sz val="14"/>
      <color rgb="FF1F4E79"/>
      <name val="Arial"/>
      <family val="0"/>
      <charset val="1"/>
    </font>
    <font>
      <b val="true"/>
      <sz val="10"/>
      <color rgb="FFFFFFFF"/>
      <name val="Arial"/>
      <family val="0"/>
      <charset val="1"/>
    </font>
    <font>
      <sz val="10"/>
      <color rgb="FF0000FF"/>
      <name val="Arial"/>
      <family val="0"/>
      <charset val="1"/>
    </font>
    <font>
      <b val="true"/>
      <sz val="10"/>
      <name val="Arial"/>
      <family val="0"/>
      <charset val="1"/>
    </font>
    <font>
      <u val="single"/>
      <sz val="10"/>
      <color rgb="FF0563C1"/>
      <name val="Arial"/>
      <family val="0"/>
      <charset val="1"/>
    </font>
  </fonts>
  <fills count="4">
    <fill>
      <patternFill patternType="none"/>
    </fill>
    <fill>
      <patternFill patternType="gray125"/>
    </fill>
    <fill>
      <patternFill patternType="solid">
        <fgColor rgb="FF1F4E79"/>
        <bgColor rgb="FF003366"/>
      </patternFill>
    </fill>
    <fill>
      <patternFill patternType="solid">
        <fgColor rgb="FFFFF2CC"/>
        <bgColor rgb="FFFCE4D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10" fillId="3" borderId="1" xfId="0" applyFont="true" applyBorder="true" applyAlignment="true" applyProtection="false">
      <alignment horizontal="center" vertical="top"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true" applyProtection="false">
      <alignment horizontal="center" vertical="bottom" textRotation="0" wrapText="false" indent="0" shrinkToFit="false"/>
      <protection locked="true" hidden="false"/>
    </xf>
    <xf numFmtId="166" fontId="7" fillId="0" borderId="1" xfId="0" applyFont="true" applyBorder="true" applyAlignment="true" applyProtection="false">
      <alignment horizontal="center"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true" applyProtection="false">
      <alignment horizontal="center" vertical="bottom" textRotation="0" wrapText="false" indent="0" shrinkToFit="false"/>
      <protection locked="true" hidden="false"/>
    </xf>
    <xf numFmtId="166" fontId="11"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CE4D6"/>
          <bgColor rgb="FF000000"/>
        </patternFill>
      </fill>
    </dxf>
    <dxf>
      <fill>
        <patternFill patternType="solid">
          <fgColor rgb="FF9C0006"/>
          <bgColor rgb="FF000000"/>
        </patternFill>
      </fill>
    </dxf>
    <dxf>
      <font>
        <name val="Arial"/>
        <charset val="1"/>
        <family val="0"/>
        <b val="1"/>
        <color rgb="FF9C0006"/>
      </font>
      <fill>
        <patternFill>
          <bgColor rgb="FFF8CBAD"/>
        </patternFill>
      </fill>
    </dxf>
    <dxf>
      <fill>
        <patternFill>
          <bgColor rgb="FFFCE4D6"/>
        </patternFill>
      </fill>
    </dxf>
    <dxf>
      <fill>
        <patternFill>
          <bgColor rgb="FFE2EFDA"/>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CE4D6"/>
      <rgbColor rgb="FF99CCFF"/>
      <rgbColor rgb="FFFF99CC"/>
      <rgbColor rgb="FFCC99FF"/>
      <rgbColor rgb="FFF8CBAD"/>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hyperlink" Target="https://dpw.lacounty.gov/bsd/lib/fp/Building/Solar%20Review/Solar%20PV%20System%20Plan%20Review%20List_2025_v1.0.pdf" TargetMode="External"/><Relationship Id="rId2" Type="http://schemas.openxmlformats.org/officeDocument/2006/relationships/hyperlink" Target="https://pw.lacounty.gov/bsd/lib/fp/Building/Residential/SFD%20Energy%20Correction%20List_2025_V1.0.pdf" TargetMode="External"/><Relationship Id="rId3" Type="http://schemas.openxmlformats.org/officeDocument/2006/relationships/hyperlink" Target="https://longbeach.gov/globalassets/lbcd/media-library/documents/formsapplications/plan-review-checklists-prc/prc-07f-plan-review-checklist---fire-alarms-systems" TargetMode="External"/><Relationship Id="rId4" Type="http://schemas.openxmlformats.org/officeDocument/2006/relationships/hyperlink" Target="https://www.rva.gov/sites/default/files/2025-02/Electrical-Handout_0.pdf" TargetMode="External"/><Relationship Id="rId5" Type="http://schemas.openxmlformats.org/officeDocument/2006/relationships/hyperlink" Target="https://www.phoenix.gov/content/dam/phoenix/pddsite/documents/trt/external/dsd_trt_pdf_00710.pdf" TargetMode="External"/><Relationship Id="rId6" Type="http://schemas.openxmlformats.org/officeDocument/2006/relationships/hyperlink" Target="https://www.iccsafe.org/wp-content/uploads/PR-Elec-Req.pdf" TargetMode="External"/><Relationship Id="rId7" Type="http://schemas.openxmlformats.org/officeDocument/2006/relationships/hyperlink" Target="https://dsps.wi.gov/Documents/Programs/FireSuppressAlarm/FireAlarmSubmittalGuidelines.pdf" TargetMode="External"/><Relationship Id="rId8" Type="http://schemas.openxmlformats.org/officeDocument/2006/relationships/hyperlink" Target="https://www.eaton.com/content/dam/eaton/products/electrical-circuit-protection/fuses/technical-literature/bus-ele-an-3015-electrical-plan-review.pdf" TargetMode="External"/><Relationship Id="rId9" Type="http://schemas.openxmlformats.org/officeDocument/2006/relationships/hyperlink" Target="https://www.greenlancer.com/post/solar-plan-sets" TargetMode="External"/><Relationship Id="rId10" Type="http://schemas.openxmlformats.org/officeDocument/2006/relationships/hyperlink" Target="https://www.mhlconsulting.co/post/why-most-electrical-permit-drawings-get-rejected-and-how-to-fix-it" TargetMode="External"/><Relationship Id="rId11" Type="http://schemas.openxmlformats.org/officeDocument/2006/relationships/hyperlink" Target="https://energyscaperenewables.com/post/solar-permit-rejections-2026/" TargetMode="External"/><Relationship Id="rId12" Type="http://schemas.openxmlformats.org/officeDocument/2006/relationships/hyperlink" Target="https://www.mayfield.energy/technical-articles/2023-nec-updates-for-energy-storage-systems/" TargetMode="External"/><Relationship Id="rId13" Type="http://schemas.openxmlformats.org/officeDocument/2006/relationships/hyperlink" Target="https://captaincode2023.leviton.com/node/349" TargetMode="External"/><Relationship Id="rId14" Type="http://schemas.openxmlformats.org/officeDocument/2006/relationships/hyperlink" Target="https://up.codes/viewer/california/ca-electric-code-2025" TargetMode="External"/><Relationship Id="rId15" Type="http://schemas.openxmlformats.org/officeDocument/2006/relationships/hyperlink" Target="https://codes.iccsafe.org/s/CAGBC2025P1/chapter-5-nonresidential-mandatory-measures/CAGBC2025P1-Ch05-SubCh5.1-Sec5.106.5.3" TargetMode="External"/><Relationship Id="rId16" Type="http://schemas.openxmlformats.org/officeDocument/2006/relationships/hyperlink" Target="https://up.codes/s/energy-storage-system-locations"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B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12"/>
  </cols>
  <sheetData>
    <row r="2" customFormat="false" ht="19.7" hidden="false" customHeight="false" outlineLevel="0" collapsed="false">
      <c r="B2" s="1" t="s">
        <v>0</v>
      </c>
    </row>
    <row r="3" customFormat="false" ht="15" hidden="false" customHeight="false" outlineLevel="0" collapsed="false">
      <c r="B3" s="2" t="s">
        <v>1</v>
      </c>
    </row>
    <row r="4" customFormat="false" ht="15" hidden="false" customHeight="false" outlineLevel="0" collapsed="false">
      <c r="B4" s="3"/>
    </row>
    <row r="5" customFormat="false" ht="15" hidden="false" customHeight="false" outlineLevel="0" collapsed="false">
      <c r="B5" s="4" t="s">
        <v>2</v>
      </c>
    </row>
    <row r="6" customFormat="false" ht="23.85" hidden="false" customHeight="false" outlineLevel="0" collapsed="false">
      <c r="B6" s="5" t="s">
        <v>3</v>
      </c>
    </row>
    <row r="7" customFormat="false" ht="23.85" hidden="false" customHeight="false" outlineLevel="0" collapsed="false">
      <c r="B7" s="5" t="s">
        <v>4</v>
      </c>
    </row>
    <row r="8" customFormat="false" ht="15" hidden="false" customHeight="false" outlineLevel="0" collapsed="false">
      <c r="B8" s="5" t="s">
        <v>5</v>
      </c>
    </row>
    <row r="9" customFormat="false" ht="15" hidden="false" customHeight="false" outlineLevel="0" collapsed="false">
      <c r="B9" s="3"/>
    </row>
    <row r="10" customFormat="false" ht="15" hidden="false" customHeight="false" outlineLevel="0" collapsed="false">
      <c r="B10" s="4" t="s">
        <v>6</v>
      </c>
    </row>
    <row r="11" customFormat="false" ht="15" hidden="false" customHeight="false" outlineLevel="0" collapsed="false">
      <c r="B11" s="5" t="s">
        <v>7</v>
      </c>
    </row>
    <row r="12" customFormat="false" ht="23.85" hidden="false" customHeight="false" outlineLevel="0" collapsed="false">
      <c r="B12" s="5" t="s">
        <v>8</v>
      </c>
    </row>
    <row r="13" customFormat="false" ht="15" hidden="false" customHeight="false" outlineLevel="0" collapsed="false">
      <c r="B13" s="5" t="s">
        <v>9</v>
      </c>
    </row>
    <row r="14" customFormat="false" ht="15" hidden="false" customHeight="false" outlineLevel="0" collapsed="false">
      <c r="B14" s="5" t="s">
        <v>10</v>
      </c>
    </row>
    <row r="15" customFormat="false" ht="23.85" hidden="false" customHeight="false" outlineLevel="0" collapsed="false">
      <c r="B15" s="5" t="s">
        <v>11</v>
      </c>
    </row>
    <row r="16" customFormat="false" ht="15" hidden="false" customHeight="false" outlineLevel="0" collapsed="false">
      <c r="B16" s="3"/>
    </row>
    <row r="17" customFormat="false" ht="15" hidden="false" customHeight="false" outlineLevel="0" collapsed="false">
      <c r="B17" s="4" t="s">
        <v>12</v>
      </c>
    </row>
    <row r="18" customFormat="false" ht="15" hidden="false" customHeight="false" outlineLevel="0" collapsed="false">
      <c r="B18" s="5" t="s">
        <v>13</v>
      </c>
    </row>
    <row r="19" customFormat="false" ht="15" hidden="false" customHeight="false" outlineLevel="0" collapsed="false">
      <c r="B19" s="5" t="s">
        <v>14</v>
      </c>
    </row>
    <row r="20" customFormat="false" ht="15" hidden="false" customHeight="false" outlineLevel="0" collapsed="false">
      <c r="B20" s="5" t="s">
        <v>15</v>
      </c>
    </row>
    <row r="21" customFormat="false" ht="15" hidden="false" customHeight="false" outlineLevel="0" collapsed="false">
      <c r="B21" s="5" t="s">
        <v>16</v>
      </c>
    </row>
    <row r="22" customFormat="false" ht="15" hidden="false" customHeight="false" outlineLevel="0" collapsed="false">
      <c r="B22" s="5" t="s">
        <v>17</v>
      </c>
    </row>
    <row r="23" customFormat="false" ht="15" hidden="false" customHeight="false" outlineLevel="0" collapsed="false">
      <c r="B23" s="3"/>
    </row>
    <row r="24" customFormat="false" ht="15" hidden="false" customHeight="false" outlineLevel="0" collapsed="false">
      <c r="B24" s="4" t="s">
        <v>18</v>
      </c>
    </row>
    <row r="25" customFormat="false" ht="23.85" hidden="false" customHeight="false" outlineLevel="0" collapsed="false">
      <c r="B25" s="5" t="s">
        <v>19</v>
      </c>
    </row>
    <row r="26" customFormat="false" ht="23.85" hidden="false" customHeight="false" outlineLevel="0" collapsed="false">
      <c r="B26" s="5" t="s">
        <v>20</v>
      </c>
    </row>
    <row r="27" customFormat="false" ht="23.85" hidden="false" customHeight="false" outlineLevel="0" collapsed="false">
      <c r="B27" s="5" t="s">
        <v>21</v>
      </c>
    </row>
    <row r="28" customFormat="false" ht="23.85" hidden="false" customHeight="false" outlineLevel="0" collapsed="false">
      <c r="B28" s="5" t="s">
        <v>22</v>
      </c>
    </row>
    <row r="29" customFormat="false" ht="15" hidden="false" customHeight="false" outlineLevel="0" collapsed="false">
      <c r="B29" s="5" t="s">
        <v>23</v>
      </c>
    </row>
    <row r="30" customFormat="false" ht="15" hidden="false" customHeight="false" outlineLevel="0" collapsed="false">
      <c r="B30" s="3"/>
    </row>
    <row r="31" customFormat="false" ht="15" hidden="false" customHeight="false" outlineLevel="0" collapsed="false">
      <c r="B31" s="4" t="s">
        <v>24</v>
      </c>
    </row>
    <row r="32" customFormat="false" ht="35.05" hidden="false" customHeight="false" outlineLevel="0" collapsed="false">
      <c r="B32" s="5" t="s">
        <v>25</v>
      </c>
    </row>
    <row r="33" customFormat="false" ht="15" hidden="false" customHeight="false" outlineLevel="0" collapsed="false">
      <c r="B33" s="5" t="s">
        <v>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5"/>
    <col collapsed="false" customWidth="true" hidden="false" outlineLevel="0" max="3" min="3" style="0" width="40"/>
    <col collapsed="false" customWidth="true" hidden="false" outlineLevel="0" max="4" min="4" style="0" width="42"/>
    <col collapsed="false" customWidth="true" hidden="false" outlineLevel="0" max="5" min="5" style="0" width="13"/>
    <col collapsed="false" customWidth="true" hidden="false" outlineLevel="0" max="6" min="6" style="0" width="9"/>
    <col collapsed="false" customWidth="true" hidden="false" outlineLevel="0" max="9" min="7" style="0" width="10"/>
    <col collapsed="false" customWidth="true" hidden="false" outlineLevel="0" max="10" min="10" style="0" width="14"/>
    <col collapsed="false" customWidth="true" hidden="false" outlineLevel="0" max="12" min="11" style="0" width="10"/>
    <col collapsed="false" customWidth="true" hidden="false" outlineLevel="0" max="13" min="13" style="0" width="9"/>
    <col collapsed="false" customWidth="true" hidden="false" outlineLevel="0" max="14" min="14" style="0" width="8"/>
    <col collapsed="false" customWidth="true" hidden="false" outlineLevel="0" max="15" min="15" style="0" width="18"/>
    <col collapsed="false" customWidth="true" hidden="false" outlineLevel="0" max="16" min="16" style="0" width="7"/>
    <col collapsed="false" customWidth="true" hidden="false" outlineLevel="0" max="17" min="17" style="0" width="20"/>
    <col collapsed="false" customWidth="true" hidden="false" outlineLevel="0" max="18" min="18" style="0" width="36"/>
    <col collapsed="false" customWidth="true" hidden="false" outlineLevel="0" max="19" min="19" style="0" width="20"/>
    <col collapsed="false" customWidth="true" hidden="false" outlineLevel="0" max="20" min="20" style="0" width="24"/>
    <col collapsed="false" customWidth="true" hidden="true" outlineLevel="0" max="21" min="21" style="0" width="8"/>
  </cols>
  <sheetData>
    <row r="1" customFormat="false" ht="17.35" hidden="false" customHeight="false" outlineLevel="0" collapsed="false">
      <c r="A1" s="6" t="s">
        <v>27</v>
      </c>
    </row>
    <row r="2" customFormat="false" ht="15" hidden="false" customHeight="false" outlineLevel="0" collapsed="false">
      <c r="A2" s="7" t="s">
        <v>28</v>
      </c>
    </row>
    <row r="4" customFormat="false" ht="42" hidden="false" customHeight="true" outlineLevel="0" collapsed="false">
      <c r="A4" s="8" t="s">
        <v>29</v>
      </c>
      <c r="B4" s="8" t="s">
        <v>30</v>
      </c>
      <c r="C4" s="8" t="s">
        <v>31</v>
      </c>
      <c r="D4" s="8" t="s">
        <v>32</v>
      </c>
      <c r="E4" s="8" t="s">
        <v>33</v>
      </c>
      <c r="F4" s="8" t="s">
        <v>34</v>
      </c>
      <c r="G4" s="8" t="s">
        <v>35</v>
      </c>
      <c r="H4" s="8" t="s">
        <v>36</v>
      </c>
      <c r="I4" s="8" t="s">
        <v>37</v>
      </c>
      <c r="J4" s="8" t="s">
        <v>38</v>
      </c>
      <c r="K4" s="8" t="s">
        <v>39</v>
      </c>
      <c r="L4" s="8" t="s">
        <v>40</v>
      </c>
      <c r="M4" s="8" t="s">
        <v>41</v>
      </c>
      <c r="N4" s="8" t="s">
        <v>42</v>
      </c>
      <c r="O4" s="8" t="s">
        <v>43</v>
      </c>
      <c r="P4" s="8" t="s">
        <v>44</v>
      </c>
      <c r="Q4" s="8" t="s">
        <v>45</v>
      </c>
      <c r="R4" s="8" t="s">
        <v>46</v>
      </c>
      <c r="S4" s="8" t="s">
        <v>47</v>
      </c>
      <c r="T4" s="8" t="s">
        <v>48</v>
      </c>
      <c r="U4" s="8" t="s">
        <v>49</v>
      </c>
    </row>
    <row r="5" customFormat="false" ht="23.85" hidden="false" customHeight="false" outlineLevel="0" collapsed="false">
      <c r="A5" s="9" t="s">
        <v>50</v>
      </c>
      <c r="B5" s="10" t="s">
        <v>51</v>
      </c>
      <c r="C5" s="10" t="s">
        <v>52</v>
      </c>
      <c r="D5" s="10" t="s">
        <v>53</v>
      </c>
      <c r="E5" s="11" t="s">
        <v>54</v>
      </c>
      <c r="F5" s="9" t="n">
        <f aca="false">IFERROR(VLOOKUP(E5,Scales!$B$6:$C$9,2,FALSE()),0)</f>
        <v>1</v>
      </c>
      <c r="G5" s="12" t="n">
        <v>0</v>
      </c>
      <c r="H5" s="12" t="n">
        <v>2</v>
      </c>
      <c r="I5" s="12" t="s">
        <v>55</v>
      </c>
      <c r="J5" s="11" t="s">
        <v>56</v>
      </c>
      <c r="K5" s="9" t="n">
        <f aca="false">IF(AND(I5="Yes",G5+H5&gt;=2),5,IF(OR(AND(H5&gt;=1,G5&gt;=1),G5&gt;=3),4,IF(OR(G5&gt;=2,H5&gt;=1),3,IF(G5&gt;=1,2,1))))</f>
        <v>3</v>
      </c>
      <c r="L5" s="12" t="n">
        <v>0</v>
      </c>
      <c r="M5" s="9" t="n">
        <f aca="false">MAX(1,MIN(5,K5+L5))</f>
        <v>3</v>
      </c>
      <c r="N5" s="9" t="n">
        <f aca="false">F5*M5</f>
        <v>3</v>
      </c>
      <c r="O5" s="10" t="str">
        <f aca="false">IF(N5&gt;=Scales!$C$21,Scales!$B$21,IF(N5&gt;=Scales!$C$22,Scales!$B$22,Scales!$B$23))</f>
        <v>Tier 3: Spot check</v>
      </c>
      <c r="P5" s="9" t="n">
        <f aca="false">RANK(U5,$U$5:$U$64,0)+COUNTIF($U$5:U5,U5)-1</f>
        <v>52</v>
      </c>
      <c r="Q5" s="10" t="s">
        <v>57</v>
      </c>
      <c r="R5" s="10" t="s">
        <v>58</v>
      </c>
      <c r="S5" s="11" t="s">
        <v>59</v>
      </c>
      <c r="T5" s="11"/>
      <c r="U5" s="9" t="n">
        <f aca="false">N5*100+F5*10+K5</f>
        <v>313</v>
      </c>
    </row>
    <row r="6" customFormat="false" ht="23.85" hidden="false" customHeight="false" outlineLevel="0" collapsed="false">
      <c r="A6" s="9" t="s">
        <v>60</v>
      </c>
      <c r="B6" s="10" t="s">
        <v>51</v>
      </c>
      <c r="C6" s="10" t="s">
        <v>61</v>
      </c>
      <c r="D6" s="10" t="s">
        <v>62</v>
      </c>
      <c r="E6" s="11" t="s">
        <v>54</v>
      </c>
      <c r="F6" s="9" t="n">
        <f aca="false">IFERROR(VLOOKUP(E6,Scales!$B$6:$C$9,2,FALSE()),0)</f>
        <v>1</v>
      </c>
      <c r="G6" s="12" t="n">
        <v>3</v>
      </c>
      <c r="H6" s="12" t="n">
        <v>1</v>
      </c>
      <c r="I6" s="12" t="s">
        <v>55</v>
      </c>
      <c r="J6" s="11" t="s">
        <v>63</v>
      </c>
      <c r="K6" s="9" t="n">
        <f aca="false">IF(AND(I6="Yes",G6+H6&gt;=2),5,IF(OR(AND(H6&gt;=1,G6&gt;=1),G6&gt;=3),4,IF(OR(G6&gt;=2,H6&gt;=1),3,IF(G6&gt;=1,2,1))))</f>
        <v>4</v>
      </c>
      <c r="L6" s="12" t="n">
        <v>0</v>
      </c>
      <c r="M6" s="9" t="n">
        <f aca="false">MAX(1,MIN(5,K6+L6))</f>
        <v>4</v>
      </c>
      <c r="N6" s="9" t="n">
        <f aca="false">F6*M6</f>
        <v>4</v>
      </c>
      <c r="O6" s="10" t="str">
        <f aca="false">IF(N6&gt;=Scales!$C$21,Scales!$B$21,IF(N6&gt;=Scales!$C$22,Scales!$B$22,Scales!$B$23))</f>
        <v>Tier 3: Spot check</v>
      </c>
      <c r="P6" s="9" t="n">
        <f aca="false">RANK(U6,$U$5:$U$64,0)+COUNTIF($U$5:U6,U6)-1</f>
        <v>51</v>
      </c>
      <c r="Q6" s="10" t="s">
        <v>64</v>
      </c>
      <c r="R6" s="10" t="s">
        <v>65</v>
      </c>
      <c r="S6" s="11" t="s">
        <v>66</v>
      </c>
      <c r="T6" s="11"/>
      <c r="U6" s="9" t="n">
        <f aca="false">N6*100+F6*10+K6</f>
        <v>414</v>
      </c>
    </row>
    <row r="7" customFormat="false" ht="23.85" hidden="false" customHeight="false" outlineLevel="0" collapsed="false">
      <c r="A7" s="9" t="s">
        <v>67</v>
      </c>
      <c r="B7" s="10" t="s">
        <v>51</v>
      </c>
      <c r="C7" s="10" t="s">
        <v>68</v>
      </c>
      <c r="D7" s="10" t="s">
        <v>69</v>
      </c>
      <c r="E7" s="11" t="s">
        <v>54</v>
      </c>
      <c r="F7" s="9" t="n">
        <f aca="false">IFERROR(VLOOKUP(E7,Scales!$B$6:$C$9,2,FALSE()),0)</f>
        <v>1</v>
      </c>
      <c r="G7" s="12" t="n">
        <v>1</v>
      </c>
      <c r="H7" s="12" t="n">
        <v>0</v>
      </c>
      <c r="I7" s="12" t="s">
        <v>55</v>
      </c>
      <c r="J7" s="11" t="s">
        <v>70</v>
      </c>
      <c r="K7" s="9" t="n">
        <f aca="false">IF(AND(I7="Yes",G7+H7&gt;=2),5,IF(OR(AND(H7&gt;=1,G7&gt;=1),G7&gt;=3),4,IF(OR(G7&gt;=2,H7&gt;=1),3,IF(G7&gt;=1,2,1))))</f>
        <v>2</v>
      </c>
      <c r="L7" s="12" t="n">
        <v>0</v>
      </c>
      <c r="M7" s="9" t="n">
        <f aca="false">MAX(1,MIN(5,K7+L7))</f>
        <v>2</v>
      </c>
      <c r="N7" s="9" t="n">
        <f aca="false">F7*M7</f>
        <v>2</v>
      </c>
      <c r="O7" s="10" t="str">
        <f aca="false">IF(N7&gt;=Scales!$C$21,Scales!$B$21,IF(N7&gt;=Scales!$C$22,Scales!$B$22,Scales!$B$23))</f>
        <v>Tier 3: Spot check</v>
      </c>
      <c r="P7" s="9" t="n">
        <f aca="false">RANK(U7,$U$5:$U$64,0)+COUNTIF($U$5:U7,U7)-1</f>
        <v>56</v>
      </c>
      <c r="Q7" s="10" t="s">
        <v>71</v>
      </c>
      <c r="R7" s="10" t="s">
        <v>72</v>
      </c>
      <c r="S7" s="11" t="s">
        <v>73</v>
      </c>
      <c r="T7" s="11"/>
      <c r="U7" s="9" t="n">
        <f aca="false">N7*100+F7*10+K7</f>
        <v>212</v>
      </c>
    </row>
    <row r="8" customFormat="false" ht="23.85" hidden="false" customHeight="false" outlineLevel="0" collapsed="false">
      <c r="A8" s="9" t="s">
        <v>74</v>
      </c>
      <c r="B8" s="10" t="s">
        <v>75</v>
      </c>
      <c r="C8" s="10" t="s">
        <v>76</v>
      </c>
      <c r="D8" s="10" t="s">
        <v>77</v>
      </c>
      <c r="E8" s="11" t="s">
        <v>78</v>
      </c>
      <c r="F8" s="9" t="n">
        <f aca="false">IFERROR(VLOOKUP(E8,Scales!$B$6:$C$9,2,FALSE()),0)</f>
        <v>4</v>
      </c>
      <c r="G8" s="12" t="n">
        <v>1</v>
      </c>
      <c r="H8" s="12" t="n">
        <v>0</v>
      </c>
      <c r="I8" s="12" t="s">
        <v>55</v>
      </c>
      <c r="J8" s="11" t="s">
        <v>79</v>
      </c>
      <c r="K8" s="9" t="n">
        <f aca="false">IF(AND(I8="Yes",G8+H8&gt;=2),5,IF(OR(AND(H8&gt;=1,G8&gt;=1),G8&gt;=3),4,IF(OR(G8&gt;=2,H8&gt;=1),3,IF(G8&gt;=1,2,1))))</f>
        <v>2</v>
      </c>
      <c r="L8" s="12" t="n">
        <v>0</v>
      </c>
      <c r="M8" s="9" t="n">
        <f aca="false">MAX(1,MIN(5,K8+L8))</f>
        <v>2</v>
      </c>
      <c r="N8" s="9" t="n">
        <f aca="false">F8*M8</f>
        <v>8</v>
      </c>
      <c r="O8" s="10" t="str">
        <f aca="false">IF(N8&gt;=Scales!$C$21,Scales!$B$21,IF(N8&gt;=Scales!$C$22,Scales!$B$22,Scales!$B$23))</f>
        <v>Tier 2: Standard</v>
      </c>
      <c r="P8" s="9" t="n">
        <f aca="false">RANK(U8,$U$5:$U$64,0)+COUNTIF($U$5:U8,U8)-1</f>
        <v>26</v>
      </c>
      <c r="Q8" s="10" t="s">
        <v>80</v>
      </c>
      <c r="R8" s="10" t="s">
        <v>81</v>
      </c>
      <c r="S8" s="11" t="s">
        <v>82</v>
      </c>
      <c r="T8" s="11"/>
      <c r="U8" s="9" t="n">
        <f aca="false">N8*100+F8*10+K8</f>
        <v>842</v>
      </c>
    </row>
    <row r="9" customFormat="false" ht="23.85" hidden="false" customHeight="false" outlineLevel="0" collapsed="false">
      <c r="A9" s="9" t="s">
        <v>83</v>
      </c>
      <c r="B9" s="10" t="s">
        <v>75</v>
      </c>
      <c r="C9" s="10" t="s">
        <v>84</v>
      </c>
      <c r="D9" s="10" t="s">
        <v>85</v>
      </c>
      <c r="E9" s="11" t="s">
        <v>78</v>
      </c>
      <c r="F9" s="9" t="n">
        <f aca="false">IFERROR(VLOOKUP(E9,Scales!$B$6:$C$9,2,FALSE()),0)</f>
        <v>4</v>
      </c>
      <c r="G9" s="12" t="n">
        <v>1</v>
      </c>
      <c r="H9" s="12" t="n">
        <v>2</v>
      </c>
      <c r="I9" s="12" t="s">
        <v>86</v>
      </c>
      <c r="J9" s="11" t="s">
        <v>87</v>
      </c>
      <c r="K9" s="9" t="n">
        <f aca="false">IF(AND(I9="Yes",G9+H9&gt;=2),5,IF(OR(AND(H9&gt;=1,G9&gt;=1),G9&gt;=3),4,IF(OR(G9&gt;=2,H9&gt;=1),3,IF(G9&gt;=1,2,1))))</f>
        <v>5</v>
      </c>
      <c r="L9" s="12" t="n">
        <v>0</v>
      </c>
      <c r="M9" s="9" t="n">
        <f aca="false">MAX(1,MIN(5,K9+L9))</f>
        <v>5</v>
      </c>
      <c r="N9" s="9" t="n">
        <f aca="false">F9*M9</f>
        <v>20</v>
      </c>
      <c r="O9" s="10" t="str">
        <f aca="false">IF(N9&gt;=Scales!$C$21,Scales!$B$21,IF(N9&gt;=Scales!$C$22,Scales!$B$22,Scales!$B$23))</f>
        <v>Tier 1: Review first</v>
      </c>
      <c r="P9" s="9" t="n">
        <f aca="false">RANK(U9,$U$5:$U$64,0)+COUNTIF($U$5:U9,U9)-1</f>
        <v>9</v>
      </c>
      <c r="Q9" s="10" t="s">
        <v>88</v>
      </c>
      <c r="R9" s="10" t="s">
        <v>89</v>
      </c>
      <c r="S9" s="11" t="s">
        <v>82</v>
      </c>
      <c r="T9" s="11"/>
      <c r="U9" s="9" t="n">
        <f aca="false">N9*100+F9*10+K9</f>
        <v>2045</v>
      </c>
    </row>
    <row r="10" customFormat="false" ht="23.85" hidden="false" customHeight="false" outlineLevel="0" collapsed="false">
      <c r="A10" s="9" t="s">
        <v>90</v>
      </c>
      <c r="B10" s="10" t="s">
        <v>75</v>
      </c>
      <c r="C10" s="10" t="s">
        <v>91</v>
      </c>
      <c r="D10" s="10" t="s">
        <v>92</v>
      </c>
      <c r="E10" s="11" t="s">
        <v>93</v>
      </c>
      <c r="F10" s="9" t="n">
        <f aca="false">IFERROR(VLOOKUP(E10,Scales!$B$6:$C$9,2,FALSE()),0)</f>
        <v>5</v>
      </c>
      <c r="G10" s="12" t="n">
        <v>1</v>
      </c>
      <c r="H10" s="12" t="n">
        <v>1</v>
      </c>
      <c r="I10" s="12" t="s">
        <v>55</v>
      </c>
      <c r="J10" s="11" t="s">
        <v>94</v>
      </c>
      <c r="K10" s="9" t="n">
        <f aca="false">IF(AND(I10="Yes",G10+H10&gt;=2),5,IF(OR(AND(H10&gt;=1,G10&gt;=1),G10&gt;=3),4,IF(OR(G10&gt;=2,H10&gt;=1),3,IF(G10&gt;=1,2,1))))</f>
        <v>4</v>
      </c>
      <c r="L10" s="12" t="n">
        <v>0</v>
      </c>
      <c r="M10" s="9" t="n">
        <f aca="false">MAX(1,MIN(5,K10+L10))</f>
        <v>4</v>
      </c>
      <c r="N10" s="9" t="n">
        <f aca="false">F10*M10</f>
        <v>20</v>
      </c>
      <c r="O10" s="10" t="str">
        <f aca="false">IF(N10&gt;=Scales!$C$21,Scales!$B$21,IF(N10&gt;=Scales!$C$22,Scales!$B$22,Scales!$B$23))</f>
        <v>Tier 1: Review first</v>
      </c>
      <c r="P10" s="9" t="n">
        <f aca="false">RANK(U10,$U$5:$U$64,0)+COUNTIF($U$5:U10,U10)-1</f>
        <v>3</v>
      </c>
      <c r="Q10" s="10" t="s">
        <v>95</v>
      </c>
      <c r="R10" s="10" t="s">
        <v>89</v>
      </c>
      <c r="S10" s="11" t="s">
        <v>82</v>
      </c>
      <c r="T10" s="11"/>
      <c r="U10" s="9" t="n">
        <f aca="false">N10*100+F10*10+K10</f>
        <v>2054</v>
      </c>
    </row>
    <row r="11" customFormat="false" ht="23.85" hidden="false" customHeight="false" outlineLevel="0" collapsed="false">
      <c r="A11" s="9" t="s">
        <v>96</v>
      </c>
      <c r="B11" s="10" t="s">
        <v>75</v>
      </c>
      <c r="C11" s="10" t="s">
        <v>97</v>
      </c>
      <c r="D11" s="10" t="s">
        <v>98</v>
      </c>
      <c r="E11" s="11" t="s">
        <v>93</v>
      </c>
      <c r="F11" s="9" t="n">
        <f aca="false">IFERROR(VLOOKUP(E11,Scales!$B$6:$C$9,2,FALSE()),0)</f>
        <v>5</v>
      </c>
      <c r="G11" s="12" t="n">
        <v>1</v>
      </c>
      <c r="H11" s="12" t="n">
        <v>2</v>
      </c>
      <c r="I11" s="12" t="s">
        <v>86</v>
      </c>
      <c r="J11" s="11" t="s">
        <v>99</v>
      </c>
      <c r="K11" s="9" t="n">
        <f aca="false">IF(AND(I11="Yes",G11+H11&gt;=2),5,IF(OR(AND(H11&gt;=1,G11&gt;=1),G11&gt;=3),4,IF(OR(G11&gt;=2,H11&gt;=1),3,IF(G11&gt;=1,2,1))))</f>
        <v>5</v>
      </c>
      <c r="L11" s="12" t="n">
        <v>0</v>
      </c>
      <c r="M11" s="9" t="n">
        <f aca="false">MAX(1,MIN(5,K11+L11))</f>
        <v>5</v>
      </c>
      <c r="N11" s="9" t="n">
        <f aca="false">F11*M11</f>
        <v>25</v>
      </c>
      <c r="O11" s="10" t="str">
        <f aca="false">IF(N11&gt;=Scales!$C$21,Scales!$B$21,IF(N11&gt;=Scales!$C$22,Scales!$B$22,Scales!$B$23))</f>
        <v>Tier 1: Review first</v>
      </c>
      <c r="P11" s="9" t="n">
        <f aca="false">RANK(U11,$U$5:$U$64,0)+COUNTIF($U$5:U11,U11)-1</f>
        <v>1</v>
      </c>
      <c r="Q11" s="10" t="s">
        <v>100</v>
      </c>
      <c r="R11" s="10" t="s">
        <v>101</v>
      </c>
      <c r="S11" s="11" t="s">
        <v>82</v>
      </c>
      <c r="T11" s="11"/>
      <c r="U11" s="9" t="n">
        <f aca="false">N11*100+F11*10+K11</f>
        <v>2555</v>
      </c>
    </row>
    <row r="12" customFormat="false" ht="23.85" hidden="false" customHeight="false" outlineLevel="0" collapsed="false">
      <c r="A12" s="9" t="s">
        <v>102</v>
      </c>
      <c r="B12" s="10" t="s">
        <v>75</v>
      </c>
      <c r="C12" s="10" t="s">
        <v>103</v>
      </c>
      <c r="D12" s="10" t="s">
        <v>104</v>
      </c>
      <c r="E12" s="11" t="s">
        <v>78</v>
      </c>
      <c r="F12" s="9" t="n">
        <f aca="false">IFERROR(VLOOKUP(E12,Scales!$B$6:$C$9,2,FALSE()),0)</f>
        <v>4</v>
      </c>
      <c r="G12" s="12" t="n">
        <v>1</v>
      </c>
      <c r="H12" s="12" t="n">
        <v>1</v>
      </c>
      <c r="I12" s="12" t="s">
        <v>86</v>
      </c>
      <c r="J12" s="11" t="s">
        <v>105</v>
      </c>
      <c r="K12" s="9" t="n">
        <f aca="false">IF(AND(I12="Yes",G12+H12&gt;=2),5,IF(OR(AND(H12&gt;=1,G12&gt;=1),G12&gt;=3),4,IF(OR(G12&gt;=2,H12&gt;=1),3,IF(G12&gt;=1,2,1))))</f>
        <v>5</v>
      </c>
      <c r="L12" s="12" t="n">
        <v>0</v>
      </c>
      <c r="M12" s="9" t="n">
        <f aca="false">MAX(1,MIN(5,K12+L12))</f>
        <v>5</v>
      </c>
      <c r="N12" s="9" t="n">
        <f aca="false">F12*M12</f>
        <v>20</v>
      </c>
      <c r="O12" s="10" t="str">
        <f aca="false">IF(N12&gt;=Scales!$C$21,Scales!$B$21,IF(N12&gt;=Scales!$C$22,Scales!$B$22,Scales!$B$23))</f>
        <v>Tier 1: Review first</v>
      </c>
      <c r="P12" s="9" t="n">
        <f aca="false">RANK(U12,$U$5:$U$64,0)+COUNTIF($U$5:U12,U12)-1</f>
        <v>10</v>
      </c>
      <c r="Q12" s="10" t="s">
        <v>106</v>
      </c>
      <c r="R12" s="10" t="s">
        <v>81</v>
      </c>
      <c r="S12" s="11" t="s">
        <v>82</v>
      </c>
      <c r="T12" s="11"/>
      <c r="U12" s="9" t="n">
        <f aca="false">N12*100+F12*10+K12</f>
        <v>2045</v>
      </c>
    </row>
    <row r="13" customFormat="false" ht="23.85" hidden="false" customHeight="false" outlineLevel="0" collapsed="false">
      <c r="A13" s="9" t="s">
        <v>107</v>
      </c>
      <c r="B13" s="10" t="s">
        <v>75</v>
      </c>
      <c r="C13" s="10" t="s">
        <v>108</v>
      </c>
      <c r="D13" s="10" t="s">
        <v>109</v>
      </c>
      <c r="E13" s="11" t="s">
        <v>78</v>
      </c>
      <c r="F13" s="9" t="n">
        <f aca="false">IFERROR(VLOOKUP(E13,Scales!$B$6:$C$9,2,FALSE()),0)</f>
        <v>4</v>
      </c>
      <c r="G13" s="12" t="n">
        <v>0</v>
      </c>
      <c r="H13" s="12" t="n">
        <v>1</v>
      </c>
      <c r="I13" s="12" t="s">
        <v>55</v>
      </c>
      <c r="J13" s="11" t="s">
        <v>110</v>
      </c>
      <c r="K13" s="9" t="n">
        <f aca="false">IF(AND(I13="Yes",G13+H13&gt;=2),5,IF(OR(AND(H13&gt;=1,G13&gt;=1),G13&gt;=3),4,IF(OR(G13&gt;=2,H13&gt;=1),3,IF(G13&gt;=1,2,1))))</f>
        <v>3</v>
      </c>
      <c r="L13" s="12" t="n">
        <v>0</v>
      </c>
      <c r="M13" s="9" t="n">
        <f aca="false">MAX(1,MIN(5,K13+L13))</f>
        <v>3</v>
      </c>
      <c r="N13" s="9" t="n">
        <f aca="false">F13*M13</f>
        <v>12</v>
      </c>
      <c r="O13" s="10" t="str">
        <f aca="false">IF(N13&gt;=Scales!$C$21,Scales!$B$21,IF(N13&gt;=Scales!$C$22,Scales!$B$22,Scales!$B$23))</f>
        <v>Tier 2: Standard</v>
      </c>
      <c r="P13" s="9" t="n">
        <f aca="false">RANK(U13,$U$5:$U$64,0)+COUNTIF($U$5:U13,U13)-1</f>
        <v>17</v>
      </c>
      <c r="Q13" s="10" t="s">
        <v>111</v>
      </c>
      <c r="R13" s="10" t="s">
        <v>81</v>
      </c>
      <c r="S13" s="11" t="s">
        <v>66</v>
      </c>
      <c r="T13" s="11"/>
      <c r="U13" s="9" t="n">
        <f aca="false">N13*100+F13*10+K13</f>
        <v>1243</v>
      </c>
    </row>
    <row r="14" customFormat="false" ht="23.85" hidden="false" customHeight="false" outlineLevel="0" collapsed="false">
      <c r="A14" s="9" t="s">
        <v>112</v>
      </c>
      <c r="B14" s="10" t="s">
        <v>75</v>
      </c>
      <c r="C14" s="10" t="s">
        <v>113</v>
      </c>
      <c r="D14" s="10" t="s">
        <v>114</v>
      </c>
      <c r="E14" s="11" t="s">
        <v>93</v>
      </c>
      <c r="F14" s="9" t="n">
        <f aca="false">IFERROR(VLOOKUP(E14,Scales!$B$6:$C$9,2,FALSE()),0)</f>
        <v>5</v>
      </c>
      <c r="G14" s="12" t="n">
        <v>1</v>
      </c>
      <c r="H14" s="12" t="n">
        <v>0</v>
      </c>
      <c r="I14" s="12" t="s">
        <v>55</v>
      </c>
      <c r="J14" s="11" t="s">
        <v>79</v>
      </c>
      <c r="K14" s="9" t="n">
        <f aca="false">IF(AND(I14="Yes",G14+H14&gt;=2),5,IF(OR(AND(H14&gt;=1,G14&gt;=1),G14&gt;=3),4,IF(OR(G14&gt;=2,H14&gt;=1),3,IF(G14&gt;=1,2,1))))</f>
        <v>2</v>
      </c>
      <c r="L14" s="12" t="n">
        <v>0</v>
      </c>
      <c r="M14" s="9" t="n">
        <f aca="false">MAX(1,MIN(5,K14+L14))</f>
        <v>2</v>
      </c>
      <c r="N14" s="9" t="n">
        <f aca="false">F14*M14</f>
        <v>10</v>
      </c>
      <c r="O14" s="10" t="str">
        <f aca="false">IF(N14&gt;=Scales!$C$21,Scales!$B$21,IF(N14&gt;=Scales!$C$22,Scales!$B$22,Scales!$B$23))</f>
        <v>Tier 2: Standard</v>
      </c>
      <c r="P14" s="9" t="n">
        <f aca="false">RANK(U14,$U$5:$U$64,0)+COUNTIF($U$5:U14,U14)-1</f>
        <v>18</v>
      </c>
      <c r="Q14" s="10" t="s">
        <v>115</v>
      </c>
      <c r="R14" s="10" t="s">
        <v>89</v>
      </c>
      <c r="S14" s="11" t="s">
        <v>82</v>
      </c>
      <c r="T14" s="11"/>
      <c r="U14" s="9" t="n">
        <f aca="false">N14*100+F14*10+K14</f>
        <v>1052</v>
      </c>
    </row>
    <row r="15" customFormat="false" ht="23.85" hidden="false" customHeight="false" outlineLevel="0" collapsed="false">
      <c r="A15" s="9" t="s">
        <v>116</v>
      </c>
      <c r="B15" s="10" t="s">
        <v>75</v>
      </c>
      <c r="C15" s="10" t="s">
        <v>117</v>
      </c>
      <c r="D15" s="10" t="s">
        <v>118</v>
      </c>
      <c r="E15" s="11" t="s">
        <v>54</v>
      </c>
      <c r="F15" s="9" t="n">
        <f aca="false">IFERROR(VLOOKUP(E15,Scales!$B$6:$C$9,2,FALSE()),0)</f>
        <v>1</v>
      </c>
      <c r="G15" s="12" t="n">
        <v>1</v>
      </c>
      <c r="H15" s="12" t="n">
        <v>1</v>
      </c>
      <c r="I15" s="12" t="s">
        <v>86</v>
      </c>
      <c r="J15" s="11" t="s">
        <v>105</v>
      </c>
      <c r="K15" s="9" t="n">
        <f aca="false">IF(AND(I15="Yes",G15+H15&gt;=2),5,IF(OR(AND(H15&gt;=1,G15&gt;=1),G15&gt;=3),4,IF(OR(G15&gt;=2,H15&gt;=1),3,IF(G15&gt;=1,2,1))))</f>
        <v>5</v>
      </c>
      <c r="L15" s="12" t="n">
        <v>0</v>
      </c>
      <c r="M15" s="9" t="n">
        <f aca="false">MAX(1,MIN(5,K15+L15))</f>
        <v>5</v>
      </c>
      <c r="N15" s="9" t="n">
        <f aca="false">F15*M15</f>
        <v>5</v>
      </c>
      <c r="O15" s="10" t="str">
        <f aca="false">IF(N15&gt;=Scales!$C$21,Scales!$B$21,IF(N15&gt;=Scales!$C$22,Scales!$B$22,Scales!$B$23))</f>
        <v>Tier 3: Spot check</v>
      </c>
      <c r="P15" s="9" t="n">
        <f aca="false">RANK(U15,$U$5:$U$64,0)+COUNTIF($U$5:U15,U15)-1</f>
        <v>44</v>
      </c>
      <c r="Q15" s="10" t="s">
        <v>119</v>
      </c>
      <c r="R15" s="10" t="s">
        <v>89</v>
      </c>
      <c r="S15" s="11" t="s">
        <v>82</v>
      </c>
      <c r="T15" s="11"/>
      <c r="U15" s="9" t="n">
        <f aca="false">N15*100+F15*10+K15</f>
        <v>515</v>
      </c>
    </row>
    <row r="16" customFormat="false" ht="23.85" hidden="false" customHeight="false" outlineLevel="0" collapsed="false">
      <c r="A16" s="9" t="s">
        <v>120</v>
      </c>
      <c r="B16" s="10" t="s">
        <v>75</v>
      </c>
      <c r="C16" s="10" t="s">
        <v>121</v>
      </c>
      <c r="D16" s="10" t="s">
        <v>122</v>
      </c>
      <c r="E16" s="11" t="s">
        <v>78</v>
      </c>
      <c r="F16" s="9" t="n">
        <f aca="false">IFERROR(VLOOKUP(E16,Scales!$B$6:$C$9,2,FALSE()),0)</f>
        <v>4</v>
      </c>
      <c r="G16" s="12" t="n">
        <v>1</v>
      </c>
      <c r="H16" s="12" t="n">
        <v>0</v>
      </c>
      <c r="I16" s="12" t="s">
        <v>55</v>
      </c>
      <c r="J16" s="11" t="s">
        <v>79</v>
      </c>
      <c r="K16" s="9" t="n">
        <f aca="false">IF(AND(I16="Yes",G16+H16&gt;=2),5,IF(OR(AND(H16&gt;=1,G16&gt;=1),G16&gt;=3),4,IF(OR(G16&gt;=2,H16&gt;=1),3,IF(G16&gt;=1,2,1))))</f>
        <v>2</v>
      </c>
      <c r="L16" s="12" t="n">
        <v>0</v>
      </c>
      <c r="M16" s="9" t="n">
        <f aca="false">MAX(1,MIN(5,K16+L16))</f>
        <v>2</v>
      </c>
      <c r="N16" s="9" t="n">
        <f aca="false">F16*M16</f>
        <v>8</v>
      </c>
      <c r="O16" s="10" t="str">
        <f aca="false">IF(N16&gt;=Scales!$C$21,Scales!$B$21,IF(N16&gt;=Scales!$C$22,Scales!$B$22,Scales!$B$23))</f>
        <v>Tier 2: Standard</v>
      </c>
      <c r="P16" s="9" t="n">
        <f aca="false">RANK(U16,$U$5:$U$64,0)+COUNTIF($U$5:U16,U16)-1</f>
        <v>27</v>
      </c>
      <c r="Q16" s="10" t="s">
        <v>123</v>
      </c>
      <c r="R16" s="10" t="s">
        <v>81</v>
      </c>
      <c r="S16" s="11" t="s">
        <v>82</v>
      </c>
      <c r="T16" s="11"/>
      <c r="U16" s="9" t="n">
        <f aca="false">N16*100+F16*10+K16</f>
        <v>842</v>
      </c>
    </row>
    <row r="17" customFormat="false" ht="23.85" hidden="false" customHeight="false" outlineLevel="0" collapsed="false">
      <c r="A17" s="9" t="s">
        <v>124</v>
      </c>
      <c r="B17" s="10" t="s">
        <v>75</v>
      </c>
      <c r="C17" s="10" t="s">
        <v>125</v>
      </c>
      <c r="D17" s="10" t="s">
        <v>126</v>
      </c>
      <c r="E17" s="11" t="s">
        <v>93</v>
      </c>
      <c r="F17" s="9" t="n">
        <f aca="false">IFERROR(VLOOKUP(E17,Scales!$B$6:$C$9,2,FALSE()),0)</f>
        <v>5</v>
      </c>
      <c r="G17" s="12" t="n">
        <v>1</v>
      </c>
      <c r="H17" s="12" t="n">
        <v>1</v>
      </c>
      <c r="I17" s="12" t="s">
        <v>55</v>
      </c>
      <c r="J17" s="11" t="s">
        <v>127</v>
      </c>
      <c r="K17" s="9" t="n">
        <f aca="false">IF(AND(I17="Yes",G17+H17&gt;=2),5,IF(OR(AND(H17&gt;=1,G17&gt;=1),G17&gt;=3),4,IF(OR(G17&gt;=2,H17&gt;=1),3,IF(G17&gt;=1,2,1))))</f>
        <v>4</v>
      </c>
      <c r="L17" s="12" t="n">
        <v>0</v>
      </c>
      <c r="M17" s="9" t="n">
        <f aca="false">MAX(1,MIN(5,K17+L17))</f>
        <v>4</v>
      </c>
      <c r="N17" s="9" t="n">
        <f aca="false">F17*M17</f>
        <v>20</v>
      </c>
      <c r="O17" s="10" t="str">
        <f aca="false">IF(N17&gt;=Scales!$C$21,Scales!$B$21,IF(N17&gt;=Scales!$C$22,Scales!$B$22,Scales!$B$23))</f>
        <v>Tier 1: Review first</v>
      </c>
      <c r="P17" s="9" t="n">
        <f aca="false">RANK(U17,$U$5:$U$64,0)+COUNTIF($U$5:U17,U17)-1</f>
        <v>4</v>
      </c>
      <c r="Q17" s="10" t="s">
        <v>128</v>
      </c>
      <c r="R17" s="10" t="s">
        <v>89</v>
      </c>
      <c r="S17" s="11" t="s">
        <v>66</v>
      </c>
      <c r="T17" s="11"/>
      <c r="U17" s="9" t="n">
        <f aca="false">N17*100+F17*10+K17</f>
        <v>2054</v>
      </c>
    </row>
    <row r="18" customFormat="false" ht="23.85" hidden="false" customHeight="false" outlineLevel="0" collapsed="false">
      <c r="A18" s="9" t="s">
        <v>129</v>
      </c>
      <c r="B18" s="10" t="s">
        <v>75</v>
      </c>
      <c r="C18" s="10" t="s">
        <v>130</v>
      </c>
      <c r="D18" s="10" t="s">
        <v>131</v>
      </c>
      <c r="E18" s="11" t="s">
        <v>78</v>
      </c>
      <c r="F18" s="9" t="n">
        <f aca="false">IFERROR(VLOOKUP(E18,Scales!$B$6:$C$9,2,FALSE()),0)</f>
        <v>4</v>
      </c>
      <c r="G18" s="12" t="n">
        <v>1</v>
      </c>
      <c r="H18" s="12" t="n">
        <v>0</v>
      </c>
      <c r="I18" s="12" t="s">
        <v>55</v>
      </c>
      <c r="J18" s="11" t="s">
        <v>79</v>
      </c>
      <c r="K18" s="9" t="n">
        <f aca="false">IF(AND(I18="Yes",G18+H18&gt;=2),5,IF(OR(AND(H18&gt;=1,G18&gt;=1),G18&gt;=3),4,IF(OR(G18&gt;=2,H18&gt;=1),3,IF(G18&gt;=1,2,1))))</f>
        <v>2</v>
      </c>
      <c r="L18" s="12" t="n">
        <v>0</v>
      </c>
      <c r="M18" s="9" t="n">
        <f aca="false">MAX(1,MIN(5,K18+L18))</f>
        <v>2</v>
      </c>
      <c r="N18" s="9" t="n">
        <f aca="false">F18*M18</f>
        <v>8</v>
      </c>
      <c r="O18" s="10" t="str">
        <f aca="false">IF(N18&gt;=Scales!$C$21,Scales!$B$21,IF(N18&gt;=Scales!$C$22,Scales!$B$22,Scales!$B$23))</f>
        <v>Tier 2: Standard</v>
      </c>
      <c r="P18" s="9" t="n">
        <f aca="false">RANK(U18,$U$5:$U$64,0)+COUNTIF($U$5:U18,U18)-1</f>
        <v>28</v>
      </c>
      <c r="Q18" s="10" t="s">
        <v>132</v>
      </c>
      <c r="R18" s="10" t="s">
        <v>81</v>
      </c>
      <c r="S18" s="11" t="s">
        <v>66</v>
      </c>
      <c r="T18" s="11"/>
      <c r="U18" s="9" t="n">
        <f aca="false">N18*100+F18*10+K18</f>
        <v>842</v>
      </c>
    </row>
    <row r="19" customFormat="false" ht="23.85" hidden="false" customHeight="false" outlineLevel="0" collapsed="false">
      <c r="A19" s="9" t="s">
        <v>133</v>
      </c>
      <c r="B19" s="10" t="s">
        <v>75</v>
      </c>
      <c r="C19" s="10" t="s">
        <v>134</v>
      </c>
      <c r="D19" s="10" t="s">
        <v>135</v>
      </c>
      <c r="E19" s="11" t="s">
        <v>54</v>
      </c>
      <c r="F19" s="9" t="n">
        <f aca="false">IFERROR(VLOOKUP(E19,Scales!$B$6:$C$9,2,FALSE()),0)</f>
        <v>1</v>
      </c>
      <c r="G19" s="12" t="n">
        <v>1</v>
      </c>
      <c r="H19" s="12" t="n">
        <v>3</v>
      </c>
      <c r="I19" s="12" t="s">
        <v>86</v>
      </c>
      <c r="J19" s="11" t="s">
        <v>136</v>
      </c>
      <c r="K19" s="9" t="n">
        <f aca="false">IF(AND(I19="Yes",G19+H19&gt;=2),5,IF(OR(AND(H19&gt;=1,G19&gt;=1),G19&gt;=3),4,IF(OR(G19&gt;=2,H19&gt;=1),3,IF(G19&gt;=1,2,1))))</f>
        <v>5</v>
      </c>
      <c r="L19" s="12" t="n">
        <v>0</v>
      </c>
      <c r="M19" s="9" t="n">
        <f aca="false">MAX(1,MIN(5,K19+L19))</f>
        <v>5</v>
      </c>
      <c r="N19" s="9" t="n">
        <f aca="false">F19*M19</f>
        <v>5</v>
      </c>
      <c r="O19" s="10" t="str">
        <f aca="false">IF(N19&gt;=Scales!$C$21,Scales!$B$21,IF(N19&gt;=Scales!$C$22,Scales!$B$22,Scales!$B$23))</f>
        <v>Tier 3: Spot check</v>
      </c>
      <c r="P19" s="9" t="n">
        <f aca="false">RANK(U19,$U$5:$U$64,0)+COUNTIF($U$5:U19,U19)-1</f>
        <v>45</v>
      </c>
      <c r="Q19" s="10" t="s">
        <v>137</v>
      </c>
      <c r="R19" s="10" t="s">
        <v>81</v>
      </c>
      <c r="S19" s="11" t="s">
        <v>66</v>
      </c>
      <c r="T19" s="11"/>
      <c r="U19" s="9" t="n">
        <f aca="false">N19*100+F19*10+K19</f>
        <v>515</v>
      </c>
    </row>
    <row r="20" customFormat="false" ht="23.85" hidden="false" customHeight="false" outlineLevel="0" collapsed="false">
      <c r="A20" s="9" t="s">
        <v>138</v>
      </c>
      <c r="B20" s="10" t="s">
        <v>75</v>
      </c>
      <c r="C20" s="10" t="s">
        <v>139</v>
      </c>
      <c r="D20" s="10" t="s">
        <v>140</v>
      </c>
      <c r="E20" s="11" t="s">
        <v>54</v>
      </c>
      <c r="F20" s="9" t="n">
        <f aca="false">IFERROR(VLOOKUP(E20,Scales!$B$6:$C$9,2,FALSE()),0)</f>
        <v>1</v>
      </c>
      <c r="G20" s="12" t="n">
        <v>2</v>
      </c>
      <c r="H20" s="12" t="n">
        <v>0</v>
      </c>
      <c r="I20" s="12" t="s">
        <v>55</v>
      </c>
      <c r="J20" s="11" t="s">
        <v>141</v>
      </c>
      <c r="K20" s="9" t="n">
        <f aca="false">IF(AND(I20="Yes",G20+H20&gt;=2),5,IF(OR(AND(H20&gt;=1,G20&gt;=1),G20&gt;=3),4,IF(OR(G20&gt;=2,H20&gt;=1),3,IF(G20&gt;=1,2,1))))</f>
        <v>3</v>
      </c>
      <c r="L20" s="12" t="n">
        <v>0</v>
      </c>
      <c r="M20" s="9" t="n">
        <f aca="false">MAX(1,MIN(5,K20+L20))</f>
        <v>3</v>
      </c>
      <c r="N20" s="9" t="n">
        <f aca="false">F20*M20</f>
        <v>3</v>
      </c>
      <c r="O20" s="10" t="str">
        <f aca="false">IF(N20&gt;=Scales!$C$21,Scales!$B$21,IF(N20&gt;=Scales!$C$22,Scales!$B$22,Scales!$B$23))</f>
        <v>Tier 3: Spot check</v>
      </c>
      <c r="P20" s="9" t="n">
        <f aca="false">RANK(U20,$U$5:$U$64,0)+COUNTIF($U$5:U20,U20)-1</f>
        <v>53</v>
      </c>
      <c r="Q20" s="10" t="s">
        <v>142</v>
      </c>
      <c r="R20" s="10" t="s">
        <v>143</v>
      </c>
      <c r="S20" s="11" t="s">
        <v>144</v>
      </c>
      <c r="T20" s="11"/>
      <c r="U20" s="9" t="n">
        <f aca="false">N20*100+F20*10+K20</f>
        <v>313</v>
      </c>
    </row>
    <row r="21" customFormat="false" ht="23.85" hidden="false" customHeight="false" outlineLevel="0" collapsed="false">
      <c r="A21" s="9" t="s">
        <v>145</v>
      </c>
      <c r="B21" s="10" t="s">
        <v>146</v>
      </c>
      <c r="C21" s="10" t="s">
        <v>147</v>
      </c>
      <c r="D21" s="10" t="s">
        <v>148</v>
      </c>
      <c r="E21" s="11" t="s">
        <v>93</v>
      </c>
      <c r="F21" s="9" t="n">
        <f aca="false">IFERROR(VLOOKUP(E21,Scales!$B$6:$C$9,2,FALSE()),0)</f>
        <v>5</v>
      </c>
      <c r="G21" s="12" t="n">
        <v>1</v>
      </c>
      <c r="H21" s="12" t="n">
        <v>0</v>
      </c>
      <c r="I21" s="12" t="s">
        <v>55</v>
      </c>
      <c r="J21" s="11" t="s">
        <v>79</v>
      </c>
      <c r="K21" s="9" t="n">
        <f aca="false">IF(AND(I21="Yes",G21+H21&gt;=2),5,IF(OR(AND(H21&gt;=1,G21&gt;=1),G21&gt;=3),4,IF(OR(G21&gt;=2,H21&gt;=1),3,IF(G21&gt;=1,2,1))))</f>
        <v>2</v>
      </c>
      <c r="L21" s="12" t="n">
        <v>0</v>
      </c>
      <c r="M21" s="9" t="n">
        <f aca="false">MAX(1,MIN(5,K21+L21))</f>
        <v>2</v>
      </c>
      <c r="N21" s="9" t="n">
        <f aca="false">F21*M21</f>
        <v>10</v>
      </c>
      <c r="O21" s="10" t="str">
        <f aca="false">IF(N21&gt;=Scales!$C$21,Scales!$B$21,IF(N21&gt;=Scales!$C$22,Scales!$B$22,Scales!$B$23))</f>
        <v>Tier 2: Standard</v>
      </c>
      <c r="P21" s="9" t="n">
        <f aca="false">RANK(U21,$U$5:$U$64,0)+COUNTIF($U$5:U21,U21)-1</f>
        <v>19</v>
      </c>
      <c r="Q21" s="10" t="s">
        <v>149</v>
      </c>
      <c r="R21" s="10" t="s">
        <v>81</v>
      </c>
      <c r="S21" s="11" t="s">
        <v>150</v>
      </c>
      <c r="T21" s="11"/>
      <c r="U21" s="9" t="n">
        <f aca="false">N21*100+F21*10+K21</f>
        <v>1052</v>
      </c>
    </row>
    <row r="22" customFormat="false" ht="23.85" hidden="false" customHeight="false" outlineLevel="0" collapsed="false">
      <c r="A22" s="9" t="s">
        <v>151</v>
      </c>
      <c r="B22" s="10" t="s">
        <v>146</v>
      </c>
      <c r="C22" s="10" t="s">
        <v>152</v>
      </c>
      <c r="D22" s="10" t="s">
        <v>153</v>
      </c>
      <c r="E22" s="11" t="s">
        <v>78</v>
      </c>
      <c r="F22" s="9" t="n">
        <f aca="false">IFERROR(VLOOKUP(E22,Scales!$B$6:$C$9,2,FALSE()),0)</f>
        <v>4</v>
      </c>
      <c r="G22" s="12" t="n">
        <v>1</v>
      </c>
      <c r="H22" s="12" t="n">
        <v>0</v>
      </c>
      <c r="I22" s="12" t="s">
        <v>55</v>
      </c>
      <c r="J22" s="11" t="s">
        <v>79</v>
      </c>
      <c r="K22" s="9" t="n">
        <f aca="false">IF(AND(I22="Yes",G22+H22&gt;=2),5,IF(OR(AND(H22&gt;=1,G22&gt;=1),G22&gt;=3),4,IF(OR(G22&gt;=2,H22&gt;=1),3,IF(G22&gt;=1,2,1))))</f>
        <v>2</v>
      </c>
      <c r="L22" s="12" t="n">
        <v>0</v>
      </c>
      <c r="M22" s="9" t="n">
        <f aca="false">MAX(1,MIN(5,K22+L22))</f>
        <v>2</v>
      </c>
      <c r="N22" s="9" t="n">
        <f aca="false">F22*M22</f>
        <v>8</v>
      </c>
      <c r="O22" s="10" t="str">
        <f aca="false">IF(N22&gt;=Scales!$C$21,Scales!$B$21,IF(N22&gt;=Scales!$C$22,Scales!$B$22,Scales!$B$23))</f>
        <v>Tier 2: Standard</v>
      </c>
      <c r="P22" s="9" t="n">
        <f aca="false">RANK(U22,$U$5:$U$64,0)+COUNTIF($U$5:U22,U22)-1</f>
        <v>29</v>
      </c>
      <c r="Q22" s="10" t="s">
        <v>154</v>
      </c>
      <c r="R22" s="10" t="s">
        <v>155</v>
      </c>
      <c r="S22" s="11" t="s">
        <v>156</v>
      </c>
      <c r="T22" s="11"/>
      <c r="U22" s="9" t="n">
        <f aca="false">N22*100+F22*10+K22</f>
        <v>842</v>
      </c>
    </row>
    <row r="23" customFormat="false" ht="23.85" hidden="false" customHeight="false" outlineLevel="0" collapsed="false">
      <c r="A23" s="9" t="s">
        <v>157</v>
      </c>
      <c r="B23" s="10" t="s">
        <v>146</v>
      </c>
      <c r="C23" s="10" t="s">
        <v>158</v>
      </c>
      <c r="D23" s="10" t="s">
        <v>159</v>
      </c>
      <c r="E23" s="11" t="s">
        <v>78</v>
      </c>
      <c r="F23" s="9" t="n">
        <f aca="false">IFERROR(VLOOKUP(E23,Scales!$B$6:$C$9,2,FALSE()),0)</f>
        <v>4</v>
      </c>
      <c r="G23" s="12" t="n">
        <v>1</v>
      </c>
      <c r="H23" s="12" t="n">
        <v>0</v>
      </c>
      <c r="I23" s="12" t="s">
        <v>55</v>
      </c>
      <c r="J23" s="11" t="s">
        <v>79</v>
      </c>
      <c r="K23" s="9" t="n">
        <f aca="false">IF(AND(I23="Yes",G23+H23&gt;=2),5,IF(OR(AND(H23&gt;=1,G23&gt;=1),G23&gt;=3),4,IF(OR(G23&gt;=2,H23&gt;=1),3,IF(G23&gt;=1,2,1))))</f>
        <v>2</v>
      </c>
      <c r="L23" s="12" t="n">
        <v>0</v>
      </c>
      <c r="M23" s="9" t="n">
        <f aca="false">MAX(1,MIN(5,K23+L23))</f>
        <v>2</v>
      </c>
      <c r="N23" s="9" t="n">
        <f aca="false">F23*M23</f>
        <v>8</v>
      </c>
      <c r="O23" s="10" t="str">
        <f aca="false">IF(N23&gt;=Scales!$C$21,Scales!$B$21,IF(N23&gt;=Scales!$C$22,Scales!$B$22,Scales!$B$23))</f>
        <v>Tier 2: Standard</v>
      </c>
      <c r="P23" s="9" t="n">
        <f aca="false">RANK(U23,$U$5:$U$64,0)+COUNTIF($U$5:U23,U23)-1</f>
        <v>30</v>
      </c>
      <c r="Q23" s="10" t="s">
        <v>160</v>
      </c>
      <c r="R23" s="10" t="s">
        <v>161</v>
      </c>
      <c r="S23" s="11" t="s">
        <v>162</v>
      </c>
      <c r="T23" s="11"/>
      <c r="U23" s="9" t="n">
        <f aca="false">N23*100+F23*10+K23</f>
        <v>842</v>
      </c>
    </row>
    <row r="24" customFormat="false" ht="35.05" hidden="false" customHeight="false" outlineLevel="0" collapsed="false">
      <c r="A24" s="9" t="s">
        <v>163</v>
      </c>
      <c r="B24" s="10" t="s">
        <v>146</v>
      </c>
      <c r="C24" s="10" t="s">
        <v>164</v>
      </c>
      <c r="D24" s="10" t="s">
        <v>165</v>
      </c>
      <c r="E24" s="11" t="s">
        <v>78</v>
      </c>
      <c r="F24" s="9" t="n">
        <f aca="false">IFERROR(VLOOKUP(E24,Scales!$B$6:$C$9,2,FALSE()),0)</f>
        <v>4</v>
      </c>
      <c r="G24" s="12" t="n">
        <v>1</v>
      </c>
      <c r="H24" s="12" t="n">
        <v>0</v>
      </c>
      <c r="I24" s="12" t="s">
        <v>55</v>
      </c>
      <c r="J24" s="11" t="s">
        <v>79</v>
      </c>
      <c r="K24" s="9" t="n">
        <f aca="false">IF(AND(I24="Yes",G24+H24&gt;=2),5,IF(OR(AND(H24&gt;=1,G24&gt;=1),G24&gt;=3),4,IF(OR(G24&gt;=2,H24&gt;=1),3,IF(G24&gt;=1,2,1))))</f>
        <v>2</v>
      </c>
      <c r="L24" s="12" t="n">
        <v>0</v>
      </c>
      <c r="M24" s="9" t="n">
        <f aca="false">MAX(1,MIN(5,K24+L24))</f>
        <v>2</v>
      </c>
      <c r="N24" s="9" t="n">
        <f aca="false">F24*M24</f>
        <v>8</v>
      </c>
      <c r="O24" s="10" t="str">
        <f aca="false">IF(N24&gt;=Scales!$C$21,Scales!$B$21,IF(N24&gt;=Scales!$C$22,Scales!$B$22,Scales!$B$23))</f>
        <v>Tier 2: Standard</v>
      </c>
      <c r="P24" s="9" t="n">
        <f aca="false">RANK(U24,$U$5:$U$64,0)+COUNTIF($U$5:U24,U24)-1</f>
        <v>31</v>
      </c>
      <c r="Q24" s="10" t="s">
        <v>166</v>
      </c>
      <c r="R24" s="10" t="s">
        <v>89</v>
      </c>
      <c r="S24" s="11" t="s">
        <v>167</v>
      </c>
      <c r="T24" s="11"/>
      <c r="U24" s="9" t="n">
        <f aca="false">N24*100+F24*10+K24</f>
        <v>842</v>
      </c>
    </row>
    <row r="25" customFormat="false" ht="23.85" hidden="false" customHeight="false" outlineLevel="0" collapsed="false">
      <c r="A25" s="9" t="s">
        <v>168</v>
      </c>
      <c r="B25" s="10" t="s">
        <v>146</v>
      </c>
      <c r="C25" s="10" t="s">
        <v>169</v>
      </c>
      <c r="D25" s="10" t="s">
        <v>170</v>
      </c>
      <c r="E25" s="11" t="s">
        <v>78</v>
      </c>
      <c r="F25" s="9" t="n">
        <f aca="false">IFERROR(VLOOKUP(E25,Scales!$B$6:$C$9,2,FALSE()),0)</f>
        <v>4</v>
      </c>
      <c r="G25" s="12" t="n">
        <v>1</v>
      </c>
      <c r="H25" s="12" t="n">
        <v>0</v>
      </c>
      <c r="I25" s="12" t="s">
        <v>55</v>
      </c>
      <c r="J25" s="11" t="s">
        <v>79</v>
      </c>
      <c r="K25" s="9" t="n">
        <f aca="false">IF(AND(I25="Yes",G25+H25&gt;=2),5,IF(OR(AND(H25&gt;=1,G25&gt;=1),G25&gt;=3),4,IF(OR(G25&gt;=2,H25&gt;=1),3,IF(G25&gt;=1,2,1))))</f>
        <v>2</v>
      </c>
      <c r="L25" s="12" t="n">
        <v>0</v>
      </c>
      <c r="M25" s="9" t="n">
        <f aca="false">MAX(1,MIN(5,K25+L25))</f>
        <v>2</v>
      </c>
      <c r="N25" s="9" t="n">
        <f aca="false">F25*M25</f>
        <v>8</v>
      </c>
      <c r="O25" s="10" t="str">
        <f aca="false">IF(N25&gt;=Scales!$C$21,Scales!$B$21,IF(N25&gt;=Scales!$C$22,Scales!$B$22,Scales!$B$23))</f>
        <v>Tier 2: Standard</v>
      </c>
      <c r="P25" s="9" t="n">
        <f aca="false">RANK(U25,$U$5:$U$64,0)+COUNTIF($U$5:U25,U25)-1</f>
        <v>32</v>
      </c>
      <c r="Q25" s="10" t="s">
        <v>171</v>
      </c>
      <c r="R25" s="10" t="s">
        <v>172</v>
      </c>
      <c r="S25" s="11" t="s">
        <v>173</v>
      </c>
      <c r="T25" s="11"/>
      <c r="U25" s="9" t="n">
        <f aca="false">N25*100+F25*10+K25</f>
        <v>842</v>
      </c>
    </row>
    <row r="26" customFormat="false" ht="23.85" hidden="false" customHeight="false" outlineLevel="0" collapsed="false">
      <c r="A26" s="9" t="s">
        <v>174</v>
      </c>
      <c r="B26" s="10" t="s">
        <v>146</v>
      </c>
      <c r="C26" s="10" t="s">
        <v>175</v>
      </c>
      <c r="D26" s="10" t="s">
        <v>176</v>
      </c>
      <c r="E26" s="11" t="s">
        <v>78</v>
      </c>
      <c r="F26" s="9" t="n">
        <f aca="false">IFERROR(VLOOKUP(E26,Scales!$B$6:$C$9,2,FALSE()),0)</f>
        <v>4</v>
      </c>
      <c r="G26" s="12" t="n">
        <v>1</v>
      </c>
      <c r="H26" s="12" t="n">
        <v>0</v>
      </c>
      <c r="I26" s="12" t="s">
        <v>55</v>
      </c>
      <c r="J26" s="11" t="s">
        <v>79</v>
      </c>
      <c r="K26" s="9" t="n">
        <f aca="false">IF(AND(I26="Yes",G26+H26&gt;=2),5,IF(OR(AND(H26&gt;=1,G26&gt;=1),G26&gt;=3),4,IF(OR(G26&gt;=2,H26&gt;=1),3,IF(G26&gt;=1,2,1))))</f>
        <v>2</v>
      </c>
      <c r="L26" s="12" t="n">
        <v>0</v>
      </c>
      <c r="M26" s="9" t="n">
        <f aca="false">MAX(1,MIN(5,K26+L26))</f>
        <v>2</v>
      </c>
      <c r="N26" s="9" t="n">
        <f aca="false">F26*M26</f>
        <v>8</v>
      </c>
      <c r="O26" s="10" t="str">
        <f aca="false">IF(N26&gt;=Scales!$C$21,Scales!$B$21,IF(N26&gt;=Scales!$C$22,Scales!$B$22,Scales!$B$23))</f>
        <v>Tier 2: Standard</v>
      </c>
      <c r="P26" s="9" t="n">
        <f aca="false">RANK(U26,$U$5:$U$64,0)+COUNTIF($U$5:U26,U26)-1</f>
        <v>33</v>
      </c>
      <c r="Q26" s="10" t="s">
        <v>177</v>
      </c>
      <c r="R26" s="10" t="s">
        <v>81</v>
      </c>
      <c r="S26" s="11" t="s">
        <v>82</v>
      </c>
      <c r="T26" s="11"/>
      <c r="U26" s="9" t="n">
        <f aca="false">N26*100+F26*10+K26</f>
        <v>842</v>
      </c>
    </row>
    <row r="27" customFormat="false" ht="35.05" hidden="false" customHeight="false" outlineLevel="0" collapsed="false">
      <c r="A27" s="9" t="s">
        <v>178</v>
      </c>
      <c r="B27" s="10" t="s">
        <v>146</v>
      </c>
      <c r="C27" s="10" t="s">
        <v>179</v>
      </c>
      <c r="D27" s="10" t="s">
        <v>180</v>
      </c>
      <c r="E27" s="11" t="s">
        <v>54</v>
      </c>
      <c r="F27" s="9" t="n">
        <f aca="false">IFERROR(VLOOKUP(E27,Scales!$B$6:$C$9,2,FALSE()),0)</f>
        <v>1</v>
      </c>
      <c r="G27" s="12" t="n">
        <v>2</v>
      </c>
      <c r="H27" s="12" t="n">
        <v>0</v>
      </c>
      <c r="I27" s="12" t="s">
        <v>55</v>
      </c>
      <c r="J27" s="11" t="s">
        <v>141</v>
      </c>
      <c r="K27" s="9" t="n">
        <f aca="false">IF(AND(I27="Yes",G27+H27&gt;=2),5,IF(OR(AND(H27&gt;=1,G27&gt;=1),G27&gt;=3),4,IF(OR(G27&gt;=2,H27&gt;=1),3,IF(G27&gt;=1,2,1))))</f>
        <v>3</v>
      </c>
      <c r="L27" s="12" t="n">
        <v>0</v>
      </c>
      <c r="M27" s="9" t="n">
        <f aca="false">MAX(1,MIN(5,K27+L27))</f>
        <v>3</v>
      </c>
      <c r="N27" s="9" t="n">
        <f aca="false">F27*M27</f>
        <v>3</v>
      </c>
      <c r="O27" s="10" t="str">
        <f aca="false">IF(N27&gt;=Scales!$C$21,Scales!$B$21,IF(N27&gt;=Scales!$C$22,Scales!$B$22,Scales!$B$23))</f>
        <v>Tier 3: Spot check</v>
      </c>
      <c r="P27" s="9" t="n">
        <f aca="false">RANK(U27,$U$5:$U$64,0)+COUNTIF($U$5:U27,U27)-1</f>
        <v>54</v>
      </c>
      <c r="Q27" s="10" t="s">
        <v>142</v>
      </c>
      <c r="R27" s="10" t="s">
        <v>181</v>
      </c>
      <c r="S27" s="11" t="s">
        <v>182</v>
      </c>
      <c r="T27" s="11"/>
      <c r="U27" s="9" t="n">
        <f aca="false">N27*100+F27*10+K27</f>
        <v>313</v>
      </c>
    </row>
    <row r="28" customFormat="false" ht="23.85" hidden="false" customHeight="false" outlineLevel="0" collapsed="false">
      <c r="A28" s="9" t="s">
        <v>183</v>
      </c>
      <c r="B28" s="10" t="s">
        <v>184</v>
      </c>
      <c r="C28" s="10" t="s">
        <v>185</v>
      </c>
      <c r="D28" s="10" t="s">
        <v>186</v>
      </c>
      <c r="E28" s="11" t="s">
        <v>54</v>
      </c>
      <c r="F28" s="9" t="n">
        <f aca="false">IFERROR(VLOOKUP(E28,Scales!$B$6:$C$9,2,FALSE()),0)</f>
        <v>1</v>
      </c>
      <c r="G28" s="12" t="n">
        <v>1</v>
      </c>
      <c r="H28" s="12" t="n">
        <v>0</v>
      </c>
      <c r="I28" s="12" t="s">
        <v>55</v>
      </c>
      <c r="J28" s="11" t="s">
        <v>70</v>
      </c>
      <c r="K28" s="9" t="n">
        <f aca="false">IF(AND(I28="Yes",G28+H28&gt;=2),5,IF(OR(AND(H28&gt;=1,G28&gt;=1),G28&gt;=3),4,IF(OR(G28&gt;=2,H28&gt;=1),3,IF(G28&gt;=1,2,1))))</f>
        <v>2</v>
      </c>
      <c r="L28" s="12" t="n">
        <v>0</v>
      </c>
      <c r="M28" s="9" t="n">
        <f aca="false">MAX(1,MIN(5,K28+L28))</f>
        <v>2</v>
      </c>
      <c r="N28" s="9" t="n">
        <f aca="false">F28*M28</f>
        <v>2</v>
      </c>
      <c r="O28" s="10" t="str">
        <f aca="false">IF(N28&gt;=Scales!$C$21,Scales!$B$21,IF(N28&gt;=Scales!$C$22,Scales!$B$22,Scales!$B$23))</f>
        <v>Tier 3: Spot check</v>
      </c>
      <c r="P28" s="9" t="n">
        <f aca="false">RANK(U28,$U$5:$U$64,0)+COUNTIF($U$5:U28,U28)-1</f>
        <v>57</v>
      </c>
      <c r="Q28" s="10" t="s">
        <v>187</v>
      </c>
      <c r="R28" s="10" t="s">
        <v>188</v>
      </c>
      <c r="S28" s="11" t="s">
        <v>189</v>
      </c>
      <c r="T28" s="11"/>
      <c r="U28" s="9" t="n">
        <f aca="false">N28*100+F28*10+K28</f>
        <v>212</v>
      </c>
    </row>
    <row r="29" customFormat="false" ht="23.85" hidden="false" customHeight="false" outlineLevel="0" collapsed="false">
      <c r="A29" s="9" t="s">
        <v>190</v>
      </c>
      <c r="B29" s="10" t="s">
        <v>184</v>
      </c>
      <c r="C29" s="10" t="s">
        <v>191</v>
      </c>
      <c r="D29" s="10" t="s">
        <v>192</v>
      </c>
      <c r="E29" s="11" t="s">
        <v>93</v>
      </c>
      <c r="F29" s="9" t="n">
        <f aca="false">IFERROR(VLOOKUP(E29,Scales!$B$6:$C$9,2,FALSE()),0)</f>
        <v>5</v>
      </c>
      <c r="G29" s="12" t="n">
        <v>1</v>
      </c>
      <c r="H29" s="12" t="n">
        <v>0</v>
      </c>
      <c r="I29" s="12" t="s">
        <v>55</v>
      </c>
      <c r="J29" s="11" t="s">
        <v>70</v>
      </c>
      <c r="K29" s="9" t="n">
        <f aca="false">IF(AND(I29="Yes",G29+H29&gt;=2),5,IF(OR(AND(H29&gt;=1,G29&gt;=1),G29&gt;=3),4,IF(OR(G29&gt;=2,H29&gt;=1),3,IF(G29&gt;=1,2,1))))</f>
        <v>2</v>
      </c>
      <c r="L29" s="12" t="n">
        <v>0</v>
      </c>
      <c r="M29" s="9" t="n">
        <f aca="false">MAX(1,MIN(5,K29+L29))</f>
        <v>2</v>
      </c>
      <c r="N29" s="9" t="n">
        <f aca="false">F29*M29</f>
        <v>10</v>
      </c>
      <c r="O29" s="10" t="str">
        <f aca="false">IF(N29&gt;=Scales!$C$21,Scales!$B$21,IF(N29&gt;=Scales!$C$22,Scales!$B$22,Scales!$B$23))</f>
        <v>Tier 2: Standard</v>
      </c>
      <c r="P29" s="9" t="n">
        <f aca="false">RANK(U29,$U$5:$U$64,0)+COUNTIF($U$5:U29,U29)-1</f>
        <v>20</v>
      </c>
      <c r="Q29" s="10" t="s">
        <v>193</v>
      </c>
      <c r="R29" s="10" t="s">
        <v>81</v>
      </c>
      <c r="S29" s="11" t="s">
        <v>189</v>
      </c>
      <c r="T29" s="11"/>
      <c r="U29" s="9" t="n">
        <f aca="false">N29*100+F29*10+K29</f>
        <v>1052</v>
      </c>
    </row>
    <row r="30" customFormat="false" ht="23.85" hidden="false" customHeight="false" outlineLevel="0" collapsed="false">
      <c r="A30" s="9" t="s">
        <v>194</v>
      </c>
      <c r="B30" s="10" t="s">
        <v>184</v>
      </c>
      <c r="C30" s="10" t="s">
        <v>195</v>
      </c>
      <c r="D30" s="10" t="s">
        <v>196</v>
      </c>
      <c r="E30" s="11" t="s">
        <v>93</v>
      </c>
      <c r="F30" s="9" t="n">
        <f aca="false">IFERROR(VLOOKUP(E30,Scales!$B$6:$C$9,2,FALSE()),0)</f>
        <v>5</v>
      </c>
      <c r="G30" s="12" t="n">
        <v>0</v>
      </c>
      <c r="H30" s="12" t="n">
        <v>0</v>
      </c>
      <c r="I30" s="12" t="s">
        <v>55</v>
      </c>
      <c r="J30" s="11" t="s">
        <v>197</v>
      </c>
      <c r="K30" s="9" t="n">
        <f aca="false">IF(AND(I30="Yes",G30+H30&gt;=2),5,IF(OR(AND(H30&gt;=1,G30&gt;=1),G30&gt;=3),4,IF(OR(G30&gt;=2,H30&gt;=1),3,IF(G30&gt;=1,2,1))))</f>
        <v>1</v>
      </c>
      <c r="L30" s="12" t="n">
        <v>0</v>
      </c>
      <c r="M30" s="9" t="n">
        <f aca="false">MAX(1,MIN(5,K30+L30))</f>
        <v>1</v>
      </c>
      <c r="N30" s="9" t="n">
        <f aca="false">F30*M30</f>
        <v>5</v>
      </c>
      <c r="O30" s="10" t="str">
        <f aca="false">IF(N30&gt;=Scales!$C$21,Scales!$B$21,IF(N30&gt;=Scales!$C$22,Scales!$B$22,Scales!$B$23))</f>
        <v>Tier 3: Spot check</v>
      </c>
      <c r="P30" s="9" t="n">
        <f aca="false">RANK(U30,$U$5:$U$64,0)+COUNTIF($U$5:U30,U30)-1</f>
        <v>39</v>
      </c>
      <c r="Q30" s="10" t="s">
        <v>198</v>
      </c>
      <c r="R30" s="10" t="s">
        <v>81</v>
      </c>
      <c r="S30" s="11" t="s">
        <v>66</v>
      </c>
      <c r="T30" s="11"/>
      <c r="U30" s="9" t="n">
        <f aca="false">N30*100+F30*10+K30</f>
        <v>551</v>
      </c>
    </row>
    <row r="31" customFormat="false" ht="23.85" hidden="false" customHeight="false" outlineLevel="0" collapsed="false">
      <c r="A31" s="9" t="s">
        <v>199</v>
      </c>
      <c r="B31" s="10" t="s">
        <v>184</v>
      </c>
      <c r="C31" s="10" t="s">
        <v>200</v>
      </c>
      <c r="D31" s="10" t="s">
        <v>201</v>
      </c>
      <c r="E31" s="11" t="s">
        <v>93</v>
      </c>
      <c r="F31" s="9" t="n">
        <f aca="false">IFERROR(VLOOKUP(E31,Scales!$B$6:$C$9,2,FALSE()),0)</f>
        <v>5</v>
      </c>
      <c r="G31" s="12" t="n">
        <v>1</v>
      </c>
      <c r="H31" s="12" t="n">
        <v>1</v>
      </c>
      <c r="I31" s="12" t="s">
        <v>55</v>
      </c>
      <c r="J31" s="11" t="s">
        <v>202</v>
      </c>
      <c r="K31" s="9" t="n">
        <f aca="false">IF(AND(I31="Yes",G31+H31&gt;=2),5,IF(OR(AND(H31&gt;=1,G31&gt;=1),G31&gt;=3),4,IF(OR(G31&gt;=2,H31&gt;=1),3,IF(G31&gt;=1,2,1))))</f>
        <v>4</v>
      </c>
      <c r="L31" s="12" t="n">
        <v>0</v>
      </c>
      <c r="M31" s="9" t="n">
        <f aca="false">MAX(1,MIN(5,K31+L31))</f>
        <v>4</v>
      </c>
      <c r="N31" s="9" t="n">
        <f aca="false">F31*M31</f>
        <v>20</v>
      </c>
      <c r="O31" s="10" t="str">
        <f aca="false">IF(N31&gt;=Scales!$C$21,Scales!$B$21,IF(N31&gt;=Scales!$C$22,Scales!$B$22,Scales!$B$23))</f>
        <v>Tier 1: Review first</v>
      </c>
      <c r="P31" s="9" t="n">
        <f aca="false">RANK(U31,$U$5:$U$64,0)+COUNTIF($U$5:U31,U31)-1</f>
        <v>5</v>
      </c>
      <c r="Q31" s="10" t="s">
        <v>203</v>
      </c>
      <c r="R31" s="10" t="s">
        <v>89</v>
      </c>
      <c r="S31" s="11" t="s">
        <v>204</v>
      </c>
      <c r="T31" s="11"/>
      <c r="U31" s="9" t="n">
        <f aca="false">N31*100+F31*10+K31</f>
        <v>2054</v>
      </c>
    </row>
    <row r="32" customFormat="false" ht="23.85" hidden="false" customHeight="false" outlineLevel="0" collapsed="false">
      <c r="A32" s="9" t="s">
        <v>205</v>
      </c>
      <c r="B32" s="10" t="s">
        <v>184</v>
      </c>
      <c r="C32" s="10" t="s">
        <v>206</v>
      </c>
      <c r="D32" s="10" t="s">
        <v>207</v>
      </c>
      <c r="E32" s="11" t="s">
        <v>93</v>
      </c>
      <c r="F32" s="9" t="n">
        <f aca="false">IFERROR(VLOOKUP(E32,Scales!$B$6:$C$9,2,FALSE()),0)</f>
        <v>5</v>
      </c>
      <c r="G32" s="12" t="n">
        <v>1</v>
      </c>
      <c r="H32" s="12" t="n">
        <v>0</v>
      </c>
      <c r="I32" s="12" t="s">
        <v>55</v>
      </c>
      <c r="J32" s="11" t="s">
        <v>208</v>
      </c>
      <c r="K32" s="9" t="n">
        <f aca="false">IF(AND(I32="Yes",G32+H32&gt;=2),5,IF(OR(AND(H32&gt;=1,G32&gt;=1),G32&gt;=3),4,IF(OR(G32&gt;=2,H32&gt;=1),3,IF(G32&gt;=1,2,1))))</f>
        <v>2</v>
      </c>
      <c r="L32" s="12" t="n">
        <v>0</v>
      </c>
      <c r="M32" s="9" t="n">
        <f aca="false">MAX(1,MIN(5,K32+L32))</f>
        <v>2</v>
      </c>
      <c r="N32" s="9" t="n">
        <f aca="false">F32*M32</f>
        <v>10</v>
      </c>
      <c r="O32" s="10" t="str">
        <f aca="false">IF(N32&gt;=Scales!$C$21,Scales!$B$21,IF(N32&gt;=Scales!$C$22,Scales!$B$22,Scales!$B$23))</f>
        <v>Tier 2: Standard</v>
      </c>
      <c r="P32" s="9" t="n">
        <f aca="false">RANK(U32,$U$5:$U$64,0)+COUNTIF($U$5:U32,U32)-1</f>
        <v>21</v>
      </c>
      <c r="Q32" s="10" t="s">
        <v>209</v>
      </c>
      <c r="R32" s="10" t="s">
        <v>210</v>
      </c>
      <c r="S32" s="11" t="s">
        <v>66</v>
      </c>
      <c r="T32" s="11"/>
      <c r="U32" s="9" t="n">
        <f aca="false">N32*100+F32*10+K32</f>
        <v>1052</v>
      </c>
    </row>
    <row r="33" customFormat="false" ht="23.85" hidden="false" customHeight="false" outlineLevel="0" collapsed="false">
      <c r="A33" s="9" t="s">
        <v>211</v>
      </c>
      <c r="B33" s="10" t="s">
        <v>184</v>
      </c>
      <c r="C33" s="10" t="s">
        <v>212</v>
      </c>
      <c r="D33" s="10" t="s">
        <v>213</v>
      </c>
      <c r="E33" s="11" t="s">
        <v>214</v>
      </c>
      <c r="F33" s="9" t="n">
        <f aca="false">IFERROR(VLOOKUP(E33,Scales!$B$6:$C$9,2,FALSE()),0)</f>
        <v>2</v>
      </c>
      <c r="G33" s="12" t="n">
        <v>1</v>
      </c>
      <c r="H33" s="12" t="n">
        <v>0</v>
      </c>
      <c r="I33" s="12" t="s">
        <v>55</v>
      </c>
      <c r="J33" s="11" t="s">
        <v>208</v>
      </c>
      <c r="K33" s="9" t="n">
        <f aca="false">IF(AND(I33="Yes",G33+H33&gt;=2),5,IF(OR(AND(H33&gt;=1,G33&gt;=1),G33&gt;=3),4,IF(OR(G33&gt;=2,H33&gt;=1),3,IF(G33&gt;=1,2,1))))</f>
        <v>2</v>
      </c>
      <c r="L33" s="12" t="n">
        <v>0</v>
      </c>
      <c r="M33" s="9" t="n">
        <f aca="false">MAX(1,MIN(5,K33+L33))</f>
        <v>2</v>
      </c>
      <c r="N33" s="9" t="n">
        <f aca="false">F33*M33</f>
        <v>4</v>
      </c>
      <c r="O33" s="10" t="str">
        <f aca="false">IF(N33&gt;=Scales!$C$21,Scales!$B$21,IF(N33&gt;=Scales!$C$22,Scales!$B$22,Scales!$B$23))</f>
        <v>Tier 3: Spot check</v>
      </c>
      <c r="P33" s="9" t="n">
        <f aca="false">RANK(U33,$U$5:$U$64,0)+COUNTIF($U$5:U33,U33)-1</f>
        <v>49</v>
      </c>
      <c r="Q33" s="10" t="s">
        <v>215</v>
      </c>
      <c r="R33" s="10" t="s">
        <v>81</v>
      </c>
      <c r="S33" s="11" t="s">
        <v>66</v>
      </c>
      <c r="T33" s="11"/>
      <c r="U33" s="9" t="n">
        <f aca="false">N33*100+F33*10+K33</f>
        <v>422</v>
      </c>
    </row>
    <row r="34" customFormat="false" ht="23.85" hidden="false" customHeight="false" outlineLevel="0" collapsed="false">
      <c r="A34" s="9" t="s">
        <v>216</v>
      </c>
      <c r="B34" s="10" t="s">
        <v>184</v>
      </c>
      <c r="C34" s="10" t="s">
        <v>217</v>
      </c>
      <c r="D34" s="10" t="s">
        <v>218</v>
      </c>
      <c r="E34" s="11" t="s">
        <v>93</v>
      </c>
      <c r="F34" s="9" t="n">
        <f aca="false">IFERROR(VLOOKUP(E34,Scales!$B$6:$C$9,2,FALSE()),0)</f>
        <v>5</v>
      </c>
      <c r="G34" s="12" t="n">
        <v>1</v>
      </c>
      <c r="H34" s="12" t="n">
        <v>0</v>
      </c>
      <c r="I34" s="12" t="s">
        <v>55</v>
      </c>
      <c r="J34" s="11" t="s">
        <v>70</v>
      </c>
      <c r="K34" s="9" t="n">
        <f aca="false">IF(AND(I34="Yes",G34+H34&gt;=2),5,IF(OR(AND(H34&gt;=1,G34&gt;=1),G34&gt;=3),4,IF(OR(G34&gt;=2,H34&gt;=1),3,IF(G34&gt;=1,2,1))))</f>
        <v>2</v>
      </c>
      <c r="L34" s="12" t="n">
        <v>0</v>
      </c>
      <c r="M34" s="9" t="n">
        <f aca="false">MAX(1,MIN(5,K34+L34))</f>
        <v>2</v>
      </c>
      <c r="N34" s="9" t="n">
        <f aca="false">F34*M34</f>
        <v>10</v>
      </c>
      <c r="O34" s="10" t="str">
        <f aca="false">IF(N34&gt;=Scales!$C$21,Scales!$B$21,IF(N34&gt;=Scales!$C$22,Scales!$B$22,Scales!$B$23))</f>
        <v>Tier 2: Standard</v>
      </c>
      <c r="P34" s="9" t="n">
        <f aca="false">RANK(U34,$U$5:$U$64,0)+COUNTIF($U$5:U34,U34)-1</f>
        <v>22</v>
      </c>
      <c r="Q34" s="10" t="s">
        <v>219</v>
      </c>
      <c r="R34" s="10" t="s">
        <v>89</v>
      </c>
      <c r="S34" s="11" t="s">
        <v>66</v>
      </c>
      <c r="T34" s="11"/>
      <c r="U34" s="9" t="n">
        <f aca="false">N34*100+F34*10+K34</f>
        <v>1052</v>
      </c>
    </row>
    <row r="35" customFormat="false" ht="23.85" hidden="false" customHeight="false" outlineLevel="0" collapsed="false">
      <c r="A35" s="9" t="s">
        <v>220</v>
      </c>
      <c r="B35" s="10" t="s">
        <v>184</v>
      </c>
      <c r="C35" s="10" t="s">
        <v>221</v>
      </c>
      <c r="D35" s="10" t="s">
        <v>222</v>
      </c>
      <c r="E35" s="11" t="s">
        <v>93</v>
      </c>
      <c r="F35" s="9" t="n">
        <f aca="false">IFERROR(VLOOKUP(E35,Scales!$B$6:$C$9,2,FALSE()),0)</f>
        <v>5</v>
      </c>
      <c r="G35" s="12" t="n">
        <v>3</v>
      </c>
      <c r="H35" s="12" t="n">
        <v>0</v>
      </c>
      <c r="I35" s="12" t="s">
        <v>55</v>
      </c>
      <c r="J35" s="11" t="s">
        <v>223</v>
      </c>
      <c r="K35" s="9" t="n">
        <f aca="false">IF(AND(I35="Yes",G35+H35&gt;=2),5,IF(OR(AND(H35&gt;=1,G35&gt;=1),G35&gt;=3),4,IF(OR(G35&gt;=2,H35&gt;=1),3,IF(G35&gt;=1,2,1))))</f>
        <v>4</v>
      </c>
      <c r="L35" s="12" t="n">
        <v>0</v>
      </c>
      <c r="M35" s="9" t="n">
        <f aca="false">MAX(1,MIN(5,K35+L35))</f>
        <v>4</v>
      </c>
      <c r="N35" s="9" t="n">
        <f aca="false">F35*M35</f>
        <v>20</v>
      </c>
      <c r="O35" s="10" t="str">
        <f aca="false">IF(N35&gt;=Scales!$C$21,Scales!$B$21,IF(N35&gt;=Scales!$C$22,Scales!$B$22,Scales!$B$23))</f>
        <v>Tier 1: Review first</v>
      </c>
      <c r="P35" s="9" t="n">
        <f aca="false">RANK(U35,$U$5:$U$64,0)+COUNTIF($U$5:U35,U35)-1</f>
        <v>6</v>
      </c>
      <c r="Q35" s="10" t="s">
        <v>224</v>
      </c>
      <c r="R35" s="10" t="s">
        <v>225</v>
      </c>
      <c r="S35" s="11" t="s">
        <v>226</v>
      </c>
      <c r="T35" s="11"/>
      <c r="U35" s="9" t="n">
        <f aca="false">N35*100+F35*10+K35</f>
        <v>2054</v>
      </c>
    </row>
    <row r="36" customFormat="false" ht="23.85" hidden="false" customHeight="false" outlineLevel="0" collapsed="false">
      <c r="A36" s="9" t="s">
        <v>227</v>
      </c>
      <c r="B36" s="10" t="s">
        <v>184</v>
      </c>
      <c r="C36" s="10" t="s">
        <v>228</v>
      </c>
      <c r="D36" s="10" t="s">
        <v>229</v>
      </c>
      <c r="E36" s="11" t="s">
        <v>93</v>
      </c>
      <c r="F36" s="9" t="n">
        <f aca="false">IFERROR(VLOOKUP(E36,Scales!$B$6:$C$9,2,FALSE()),0)</f>
        <v>5</v>
      </c>
      <c r="G36" s="12" t="n">
        <v>0</v>
      </c>
      <c r="H36" s="12" t="n">
        <v>0</v>
      </c>
      <c r="I36" s="12" t="s">
        <v>55</v>
      </c>
      <c r="J36" s="11" t="s">
        <v>197</v>
      </c>
      <c r="K36" s="9" t="n">
        <f aca="false">IF(AND(I36="Yes",G36+H36&gt;=2),5,IF(OR(AND(H36&gt;=1,G36&gt;=1),G36&gt;=3),4,IF(OR(G36&gt;=2,H36&gt;=1),3,IF(G36&gt;=1,2,1))))</f>
        <v>1</v>
      </c>
      <c r="L36" s="12" t="n">
        <v>0</v>
      </c>
      <c r="M36" s="9" t="n">
        <f aca="false">MAX(1,MIN(5,K36+L36))</f>
        <v>1</v>
      </c>
      <c r="N36" s="9" t="n">
        <f aca="false">F36*M36</f>
        <v>5</v>
      </c>
      <c r="O36" s="10" t="str">
        <f aca="false">IF(N36&gt;=Scales!$C$21,Scales!$B$21,IF(N36&gt;=Scales!$C$22,Scales!$B$22,Scales!$B$23))</f>
        <v>Tier 3: Spot check</v>
      </c>
      <c r="P36" s="9" t="n">
        <f aca="false">RANK(U36,$U$5:$U$64,0)+COUNTIF($U$5:U36,U36)-1</f>
        <v>40</v>
      </c>
      <c r="Q36" s="10" t="s">
        <v>230</v>
      </c>
      <c r="R36" s="10" t="s">
        <v>81</v>
      </c>
      <c r="S36" s="11" t="s">
        <v>231</v>
      </c>
      <c r="T36" s="11"/>
      <c r="U36" s="9" t="n">
        <f aca="false">N36*100+F36*10+K36</f>
        <v>551</v>
      </c>
    </row>
    <row r="37" customFormat="false" ht="23.85" hidden="false" customHeight="false" outlineLevel="0" collapsed="false">
      <c r="A37" s="9" t="s">
        <v>232</v>
      </c>
      <c r="B37" s="10" t="s">
        <v>184</v>
      </c>
      <c r="C37" s="10" t="s">
        <v>233</v>
      </c>
      <c r="D37" s="10" t="s">
        <v>234</v>
      </c>
      <c r="E37" s="11" t="s">
        <v>54</v>
      </c>
      <c r="F37" s="9" t="n">
        <f aca="false">IFERROR(VLOOKUP(E37,Scales!$B$6:$C$9,2,FALSE()),0)</f>
        <v>1</v>
      </c>
      <c r="G37" s="12" t="n">
        <v>0</v>
      </c>
      <c r="H37" s="12" t="n">
        <v>0</v>
      </c>
      <c r="I37" s="12" t="s">
        <v>55</v>
      </c>
      <c r="J37" s="11" t="s">
        <v>197</v>
      </c>
      <c r="K37" s="9" t="n">
        <f aca="false">IF(AND(I37="Yes",G37+H37&gt;=2),5,IF(OR(AND(H37&gt;=1,G37&gt;=1),G37&gt;=3),4,IF(OR(G37&gt;=2,H37&gt;=1),3,IF(G37&gt;=1,2,1))))</f>
        <v>1</v>
      </c>
      <c r="L37" s="12" t="n">
        <v>0</v>
      </c>
      <c r="M37" s="9" t="n">
        <f aca="false">MAX(1,MIN(5,K37+L37))</f>
        <v>1</v>
      </c>
      <c r="N37" s="9" t="n">
        <f aca="false">F37*M37</f>
        <v>1</v>
      </c>
      <c r="O37" s="10" t="str">
        <f aca="false">IF(N37&gt;=Scales!$C$21,Scales!$B$21,IF(N37&gt;=Scales!$C$22,Scales!$B$22,Scales!$B$23))</f>
        <v>Tier 3: Spot check</v>
      </c>
      <c r="P37" s="9" t="n">
        <f aca="false">RANK(U37,$U$5:$U$64,0)+COUNTIF($U$5:U37,U37)-1</f>
        <v>58</v>
      </c>
      <c r="Q37" s="10" t="s">
        <v>235</v>
      </c>
      <c r="R37" s="10" t="s">
        <v>89</v>
      </c>
      <c r="S37" s="11" t="s">
        <v>66</v>
      </c>
      <c r="T37" s="11"/>
      <c r="U37" s="9" t="n">
        <f aca="false">N37*100+F37*10+K37</f>
        <v>111</v>
      </c>
    </row>
    <row r="38" customFormat="false" ht="23.85" hidden="false" customHeight="false" outlineLevel="0" collapsed="false">
      <c r="A38" s="9" t="s">
        <v>236</v>
      </c>
      <c r="B38" s="10" t="s">
        <v>184</v>
      </c>
      <c r="C38" s="10" t="s">
        <v>237</v>
      </c>
      <c r="D38" s="10" t="s">
        <v>238</v>
      </c>
      <c r="E38" s="11" t="s">
        <v>78</v>
      </c>
      <c r="F38" s="9" t="n">
        <f aca="false">IFERROR(VLOOKUP(E38,Scales!$B$6:$C$9,2,FALSE()),0)</f>
        <v>4</v>
      </c>
      <c r="G38" s="12" t="n">
        <v>1</v>
      </c>
      <c r="H38" s="12" t="n">
        <v>0</v>
      </c>
      <c r="I38" s="12" t="s">
        <v>55</v>
      </c>
      <c r="J38" s="11" t="s">
        <v>70</v>
      </c>
      <c r="K38" s="9" t="n">
        <f aca="false">IF(AND(I38="Yes",G38+H38&gt;=2),5,IF(OR(AND(H38&gt;=1,G38&gt;=1),G38&gt;=3),4,IF(OR(G38&gt;=2,H38&gt;=1),3,IF(G38&gt;=1,2,1))))</f>
        <v>2</v>
      </c>
      <c r="L38" s="12" t="n">
        <v>0</v>
      </c>
      <c r="M38" s="9" t="n">
        <f aca="false">MAX(1,MIN(5,K38+L38))</f>
        <v>2</v>
      </c>
      <c r="N38" s="9" t="n">
        <f aca="false">F38*M38</f>
        <v>8</v>
      </c>
      <c r="O38" s="10" t="str">
        <f aca="false">IF(N38&gt;=Scales!$C$21,Scales!$B$21,IF(N38&gt;=Scales!$C$22,Scales!$B$22,Scales!$B$23))</f>
        <v>Tier 2: Standard</v>
      </c>
      <c r="P38" s="9" t="n">
        <f aca="false">RANK(U38,$U$5:$U$64,0)+COUNTIF($U$5:U38,U38)-1</f>
        <v>34</v>
      </c>
      <c r="Q38" s="10" t="s">
        <v>239</v>
      </c>
      <c r="R38" s="10" t="s">
        <v>240</v>
      </c>
      <c r="S38" s="11" t="s">
        <v>189</v>
      </c>
      <c r="T38" s="11"/>
      <c r="U38" s="9" t="n">
        <f aca="false">N38*100+F38*10+K38</f>
        <v>842</v>
      </c>
    </row>
    <row r="39" customFormat="false" ht="23.85" hidden="false" customHeight="false" outlineLevel="0" collapsed="false">
      <c r="A39" s="9" t="s">
        <v>241</v>
      </c>
      <c r="B39" s="10" t="s">
        <v>242</v>
      </c>
      <c r="C39" s="10" t="s">
        <v>243</v>
      </c>
      <c r="D39" s="10" t="s">
        <v>244</v>
      </c>
      <c r="E39" s="11" t="s">
        <v>93</v>
      </c>
      <c r="F39" s="9" t="n">
        <f aca="false">IFERROR(VLOOKUP(E39,Scales!$B$6:$C$9,2,FALSE()),0)</f>
        <v>5</v>
      </c>
      <c r="G39" s="12" t="n">
        <v>2</v>
      </c>
      <c r="H39" s="12" t="n">
        <v>0</v>
      </c>
      <c r="I39" s="12" t="s">
        <v>55</v>
      </c>
      <c r="J39" s="11" t="s">
        <v>245</v>
      </c>
      <c r="K39" s="9" t="n">
        <f aca="false">IF(AND(I39="Yes",G39+H39&gt;=2),5,IF(OR(AND(H39&gt;=1,G39&gt;=1),G39&gt;=3),4,IF(OR(G39&gt;=2,H39&gt;=1),3,IF(G39&gt;=1,2,1))))</f>
        <v>3</v>
      </c>
      <c r="L39" s="12" t="n">
        <v>0</v>
      </c>
      <c r="M39" s="9" t="n">
        <f aca="false">MAX(1,MIN(5,K39+L39))</f>
        <v>3</v>
      </c>
      <c r="N39" s="9" t="n">
        <f aca="false">F39*M39</f>
        <v>15</v>
      </c>
      <c r="O39" s="10" t="str">
        <f aca="false">IF(N39&gt;=Scales!$C$21,Scales!$B$21,IF(N39&gt;=Scales!$C$22,Scales!$B$22,Scales!$B$23))</f>
        <v>Tier 2: Standard</v>
      </c>
      <c r="P39" s="9" t="n">
        <f aca="false">RANK(U39,$U$5:$U$64,0)+COUNTIF($U$5:U39,U39)-1</f>
        <v>14</v>
      </c>
      <c r="Q39" s="10" t="s">
        <v>246</v>
      </c>
      <c r="R39" s="10" t="s">
        <v>247</v>
      </c>
      <c r="S39" s="11" t="s">
        <v>248</v>
      </c>
      <c r="T39" s="11"/>
      <c r="U39" s="9" t="n">
        <f aca="false">N39*100+F39*10+K39</f>
        <v>1553</v>
      </c>
    </row>
    <row r="40" customFormat="false" ht="23.85" hidden="false" customHeight="false" outlineLevel="0" collapsed="false">
      <c r="A40" s="9" t="s">
        <v>249</v>
      </c>
      <c r="B40" s="10" t="s">
        <v>242</v>
      </c>
      <c r="C40" s="10" t="s">
        <v>250</v>
      </c>
      <c r="D40" s="10" t="s">
        <v>251</v>
      </c>
      <c r="E40" s="11" t="s">
        <v>93</v>
      </c>
      <c r="F40" s="9" t="n">
        <f aca="false">IFERROR(VLOOKUP(E40,Scales!$B$6:$C$9,2,FALSE()),0)</f>
        <v>5</v>
      </c>
      <c r="G40" s="12" t="n">
        <v>2</v>
      </c>
      <c r="H40" s="12" t="n">
        <v>0</v>
      </c>
      <c r="I40" s="12" t="s">
        <v>55</v>
      </c>
      <c r="J40" s="11" t="s">
        <v>245</v>
      </c>
      <c r="K40" s="9" t="n">
        <f aca="false">IF(AND(I40="Yes",G40+H40&gt;=2),5,IF(OR(AND(H40&gt;=1,G40&gt;=1),G40&gt;=3),4,IF(OR(G40&gt;=2,H40&gt;=1),3,IF(G40&gt;=1,2,1))))</f>
        <v>3</v>
      </c>
      <c r="L40" s="12" t="n">
        <v>0</v>
      </c>
      <c r="M40" s="9" t="n">
        <f aca="false">MAX(1,MIN(5,K40+L40))</f>
        <v>3</v>
      </c>
      <c r="N40" s="9" t="n">
        <f aca="false">F40*M40</f>
        <v>15</v>
      </c>
      <c r="O40" s="10" t="str">
        <f aca="false">IF(N40&gt;=Scales!$C$21,Scales!$B$21,IF(N40&gt;=Scales!$C$22,Scales!$B$22,Scales!$B$23))</f>
        <v>Tier 2: Standard</v>
      </c>
      <c r="P40" s="9" t="n">
        <f aca="false">RANK(U40,$U$5:$U$64,0)+COUNTIF($U$5:U40,U40)-1</f>
        <v>15</v>
      </c>
      <c r="Q40" s="10" t="s">
        <v>246</v>
      </c>
      <c r="R40" s="10" t="s">
        <v>252</v>
      </c>
      <c r="S40" s="11" t="s">
        <v>248</v>
      </c>
      <c r="T40" s="11"/>
      <c r="U40" s="9" t="n">
        <f aca="false">N40*100+F40*10+K40</f>
        <v>1553</v>
      </c>
    </row>
    <row r="41" customFormat="false" ht="23.85" hidden="false" customHeight="false" outlineLevel="0" collapsed="false">
      <c r="A41" s="9" t="s">
        <v>253</v>
      </c>
      <c r="B41" s="10" t="s">
        <v>242</v>
      </c>
      <c r="C41" s="10" t="s">
        <v>254</v>
      </c>
      <c r="D41" s="10" t="s">
        <v>255</v>
      </c>
      <c r="E41" s="11" t="s">
        <v>93</v>
      </c>
      <c r="F41" s="9" t="n">
        <f aca="false">IFERROR(VLOOKUP(E41,Scales!$B$6:$C$9,2,FALSE()),0)</f>
        <v>5</v>
      </c>
      <c r="G41" s="12" t="n">
        <v>1</v>
      </c>
      <c r="H41" s="12" t="n">
        <v>0</v>
      </c>
      <c r="I41" s="12" t="s">
        <v>55</v>
      </c>
      <c r="J41" s="11" t="s">
        <v>256</v>
      </c>
      <c r="K41" s="9" t="n">
        <f aca="false">IF(AND(I41="Yes",G41+H41&gt;=2),5,IF(OR(AND(H41&gt;=1,G41&gt;=1),G41&gt;=3),4,IF(OR(G41&gt;=2,H41&gt;=1),3,IF(G41&gt;=1,2,1))))</f>
        <v>2</v>
      </c>
      <c r="L41" s="12" t="n">
        <v>0</v>
      </c>
      <c r="M41" s="9" t="n">
        <f aca="false">MAX(1,MIN(5,K41+L41))</f>
        <v>2</v>
      </c>
      <c r="N41" s="9" t="n">
        <f aca="false">F41*M41</f>
        <v>10</v>
      </c>
      <c r="O41" s="10" t="str">
        <f aca="false">IF(N41&gt;=Scales!$C$21,Scales!$B$21,IF(N41&gt;=Scales!$C$22,Scales!$B$22,Scales!$B$23))</f>
        <v>Tier 2: Standard</v>
      </c>
      <c r="P41" s="9" t="n">
        <f aca="false">RANK(U41,$U$5:$U$64,0)+COUNTIF($U$5:U41,U41)-1</f>
        <v>23</v>
      </c>
      <c r="Q41" s="10" t="s">
        <v>257</v>
      </c>
      <c r="R41" s="10" t="s">
        <v>258</v>
      </c>
      <c r="S41" s="11" t="s">
        <v>248</v>
      </c>
      <c r="T41" s="11"/>
      <c r="U41" s="9" t="n">
        <f aca="false">N41*100+F41*10+K41</f>
        <v>1052</v>
      </c>
    </row>
    <row r="42" customFormat="false" ht="23.85" hidden="false" customHeight="false" outlineLevel="0" collapsed="false">
      <c r="A42" s="9" t="s">
        <v>259</v>
      </c>
      <c r="B42" s="10" t="s">
        <v>242</v>
      </c>
      <c r="C42" s="10" t="s">
        <v>260</v>
      </c>
      <c r="D42" s="10" t="s">
        <v>261</v>
      </c>
      <c r="E42" s="11" t="s">
        <v>78</v>
      </c>
      <c r="F42" s="9" t="n">
        <f aca="false">IFERROR(VLOOKUP(E42,Scales!$B$6:$C$9,2,FALSE()),0)</f>
        <v>4</v>
      </c>
      <c r="G42" s="12" t="n">
        <v>1</v>
      </c>
      <c r="H42" s="12" t="n">
        <v>0</v>
      </c>
      <c r="I42" s="12" t="s">
        <v>55</v>
      </c>
      <c r="J42" s="11" t="s">
        <v>262</v>
      </c>
      <c r="K42" s="9" t="n">
        <f aca="false">IF(AND(I42="Yes",G42+H42&gt;=2),5,IF(OR(AND(H42&gt;=1,G42&gt;=1),G42&gt;=3),4,IF(OR(G42&gt;=2,H42&gt;=1),3,IF(G42&gt;=1,2,1))))</f>
        <v>2</v>
      </c>
      <c r="L42" s="12" t="n">
        <v>0</v>
      </c>
      <c r="M42" s="9" t="n">
        <f aca="false">MAX(1,MIN(5,K42+L42))</f>
        <v>2</v>
      </c>
      <c r="N42" s="9" t="n">
        <f aca="false">F42*M42</f>
        <v>8</v>
      </c>
      <c r="O42" s="10" t="str">
        <f aca="false">IF(N42&gt;=Scales!$C$21,Scales!$B$21,IF(N42&gt;=Scales!$C$22,Scales!$B$22,Scales!$B$23))</f>
        <v>Tier 2: Standard</v>
      </c>
      <c r="P42" s="9" t="n">
        <f aca="false">RANK(U42,$U$5:$U$64,0)+COUNTIF($U$5:U42,U42)-1</f>
        <v>35</v>
      </c>
      <c r="Q42" s="10" t="s">
        <v>263</v>
      </c>
      <c r="R42" s="10" t="s">
        <v>89</v>
      </c>
      <c r="S42" s="11" t="s">
        <v>66</v>
      </c>
      <c r="T42" s="11"/>
      <c r="U42" s="9" t="n">
        <f aca="false">N42*100+F42*10+K42</f>
        <v>842</v>
      </c>
    </row>
    <row r="43" customFormat="false" ht="23.85" hidden="false" customHeight="false" outlineLevel="0" collapsed="false">
      <c r="A43" s="9" t="s">
        <v>264</v>
      </c>
      <c r="B43" s="10" t="s">
        <v>242</v>
      </c>
      <c r="C43" s="10" t="s">
        <v>265</v>
      </c>
      <c r="D43" s="10" t="s">
        <v>266</v>
      </c>
      <c r="E43" s="11" t="s">
        <v>93</v>
      </c>
      <c r="F43" s="9" t="n">
        <f aca="false">IFERROR(VLOOKUP(E43,Scales!$B$6:$C$9,2,FALSE()),0)</f>
        <v>5</v>
      </c>
      <c r="G43" s="12" t="n">
        <v>0</v>
      </c>
      <c r="H43" s="12" t="n">
        <v>0</v>
      </c>
      <c r="I43" s="12" t="s">
        <v>55</v>
      </c>
      <c r="J43" s="11" t="s">
        <v>197</v>
      </c>
      <c r="K43" s="9" t="n">
        <f aca="false">IF(AND(I43="Yes",G43+H43&gt;=2),5,IF(OR(AND(H43&gt;=1,G43&gt;=1),G43&gt;=3),4,IF(OR(G43&gt;=2,H43&gt;=1),3,IF(G43&gt;=1,2,1))))</f>
        <v>1</v>
      </c>
      <c r="L43" s="12" t="n">
        <v>0</v>
      </c>
      <c r="M43" s="9" t="n">
        <f aca="false">MAX(1,MIN(5,K43+L43))</f>
        <v>1</v>
      </c>
      <c r="N43" s="9" t="n">
        <f aca="false">F43*M43</f>
        <v>5</v>
      </c>
      <c r="O43" s="10" t="str">
        <f aca="false">IF(N43&gt;=Scales!$C$21,Scales!$B$21,IF(N43&gt;=Scales!$C$22,Scales!$B$22,Scales!$B$23))</f>
        <v>Tier 3: Spot check</v>
      </c>
      <c r="P43" s="9" t="n">
        <f aca="false">RANK(U43,$U$5:$U$64,0)+COUNTIF($U$5:U43,U43)-1</f>
        <v>41</v>
      </c>
      <c r="Q43" s="10" t="s">
        <v>267</v>
      </c>
      <c r="R43" s="10" t="s">
        <v>81</v>
      </c>
      <c r="S43" s="11" t="s">
        <v>66</v>
      </c>
      <c r="T43" s="11"/>
      <c r="U43" s="9" t="n">
        <f aca="false">N43*100+F43*10+K43</f>
        <v>551</v>
      </c>
    </row>
    <row r="44" customFormat="false" ht="23.85" hidden="false" customHeight="false" outlineLevel="0" collapsed="false">
      <c r="A44" s="9" t="s">
        <v>268</v>
      </c>
      <c r="B44" s="10" t="s">
        <v>242</v>
      </c>
      <c r="C44" s="10" t="s">
        <v>269</v>
      </c>
      <c r="D44" s="10" t="s">
        <v>270</v>
      </c>
      <c r="E44" s="11" t="s">
        <v>93</v>
      </c>
      <c r="F44" s="9" t="n">
        <f aca="false">IFERROR(VLOOKUP(E44,Scales!$B$6:$C$9,2,FALSE()),0)</f>
        <v>5</v>
      </c>
      <c r="G44" s="12" t="n">
        <v>1</v>
      </c>
      <c r="H44" s="12" t="n">
        <v>0</v>
      </c>
      <c r="I44" s="12" t="s">
        <v>55</v>
      </c>
      <c r="J44" s="11" t="s">
        <v>256</v>
      </c>
      <c r="K44" s="9" t="n">
        <f aca="false">IF(AND(I44="Yes",G44+H44&gt;=2),5,IF(OR(AND(H44&gt;=1,G44&gt;=1),G44&gt;=3),4,IF(OR(G44&gt;=2,H44&gt;=1),3,IF(G44&gt;=1,2,1))))</f>
        <v>2</v>
      </c>
      <c r="L44" s="12" t="n">
        <v>0</v>
      </c>
      <c r="M44" s="9" t="n">
        <f aca="false">MAX(1,MIN(5,K44+L44))</f>
        <v>2</v>
      </c>
      <c r="N44" s="9" t="n">
        <f aca="false">F44*M44</f>
        <v>10</v>
      </c>
      <c r="O44" s="10" t="str">
        <f aca="false">IF(N44&gt;=Scales!$C$21,Scales!$B$21,IF(N44&gt;=Scales!$C$22,Scales!$B$22,Scales!$B$23))</f>
        <v>Tier 2: Standard</v>
      </c>
      <c r="P44" s="9" t="n">
        <f aca="false">RANK(U44,$U$5:$U$64,0)+COUNTIF($U$5:U44,U44)-1</f>
        <v>24</v>
      </c>
      <c r="Q44" s="10" t="s">
        <v>271</v>
      </c>
      <c r="R44" s="10" t="s">
        <v>272</v>
      </c>
      <c r="S44" s="11" t="s">
        <v>273</v>
      </c>
      <c r="T44" s="11"/>
      <c r="U44" s="9" t="n">
        <f aca="false">N44*100+F44*10+K44</f>
        <v>1052</v>
      </c>
    </row>
    <row r="45" customFormat="false" ht="23.85" hidden="false" customHeight="false" outlineLevel="0" collapsed="false">
      <c r="A45" s="9" t="s">
        <v>274</v>
      </c>
      <c r="B45" s="10" t="s">
        <v>275</v>
      </c>
      <c r="C45" s="10" t="s">
        <v>276</v>
      </c>
      <c r="D45" s="10" t="s">
        <v>277</v>
      </c>
      <c r="E45" s="11" t="s">
        <v>93</v>
      </c>
      <c r="F45" s="9" t="n">
        <f aca="false">IFERROR(VLOOKUP(E45,Scales!$B$6:$C$9,2,FALSE()),0)</f>
        <v>5</v>
      </c>
      <c r="G45" s="12" t="n">
        <v>3</v>
      </c>
      <c r="H45" s="12" t="n">
        <v>2</v>
      </c>
      <c r="I45" s="12" t="s">
        <v>86</v>
      </c>
      <c r="J45" s="11" t="s">
        <v>278</v>
      </c>
      <c r="K45" s="9" t="n">
        <f aca="false">IF(AND(I45="Yes",G45+H45&gt;=2),5,IF(OR(AND(H45&gt;=1,G45&gt;=1),G45&gt;=3),4,IF(OR(G45&gt;=2,H45&gt;=1),3,IF(G45&gt;=1,2,1))))</f>
        <v>5</v>
      </c>
      <c r="L45" s="12" t="n">
        <v>0</v>
      </c>
      <c r="M45" s="9" t="n">
        <f aca="false">MAX(1,MIN(5,K45+L45))</f>
        <v>5</v>
      </c>
      <c r="N45" s="9" t="n">
        <f aca="false">F45*M45</f>
        <v>25</v>
      </c>
      <c r="O45" s="10" t="str">
        <f aca="false">IF(N45&gt;=Scales!$C$21,Scales!$B$21,IF(N45&gt;=Scales!$C$22,Scales!$B$22,Scales!$B$23))</f>
        <v>Tier 1: Review first</v>
      </c>
      <c r="P45" s="9" t="n">
        <f aca="false">RANK(U45,$U$5:$U$64,0)+COUNTIF($U$5:U45,U45)-1</f>
        <v>2</v>
      </c>
      <c r="Q45" s="10" t="s">
        <v>279</v>
      </c>
      <c r="R45" s="10" t="s">
        <v>89</v>
      </c>
      <c r="S45" s="11" t="s">
        <v>204</v>
      </c>
      <c r="T45" s="11"/>
      <c r="U45" s="9" t="n">
        <f aca="false">N45*100+F45*10+K45</f>
        <v>2555</v>
      </c>
    </row>
    <row r="46" customFormat="false" ht="23.85" hidden="false" customHeight="false" outlineLevel="0" collapsed="false">
      <c r="A46" s="9" t="s">
        <v>280</v>
      </c>
      <c r="B46" s="10" t="s">
        <v>275</v>
      </c>
      <c r="C46" s="10" t="s">
        <v>281</v>
      </c>
      <c r="D46" s="10" t="s">
        <v>282</v>
      </c>
      <c r="E46" s="11" t="s">
        <v>93</v>
      </c>
      <c r="F46" s="9" t="n">
        <f aca="false">IFERROR(VLOOKUP(E46,Scales!$B$6:$C$9,2,FALSE()),0)</f>
        <v>5</v>
      </c>
      <c r="G46" s="12" t="n">
        <v>3</v>
      </c>
      <c r="H46" s="12" t="n">
        <v>0</v>
      </c>
      <c r="I46" s="12" t="s">
        <v>55</v>
      </c>
      <c r="J46" s="11" t="s">
        <v>223</v>
      </c>
      <c r="K46" s="9" t="n">
        <f aca="false">IF(AND(I46="Yes",G46+H46&gt;=2),5,IF(OR(AND(H46&gt;=1,G46&gt;=1),G46&gt;=3),4,IF(OR(G46&gt;=2,H46&gt;=1),3,IF(G46&gt;=1,2,1))))</f>
        <v>4</v>
      </c>
      <c r="L46" s="12" t="n">
        <v>0</v>
      </c>
      <c r="M46" s="9" t="n">
        <f aca="false">MAX(1,MIN(5,K46+L46))</f>
        <v>4</v>
      </c>
      <c r="N46" s="9" t="n">
        <f aca="false">F46*M46</f>
        <v>20</v>
      </c>
      <c r="O46" s="10" t="str">
        <f aca="false">IF(N46&gt;=Scales!$C$21,Scales!$B$21,IF(N46&gt;=Scales!$C$22,Scales!$B$22,Scales!$B$23))</f>
        <v>Tier 1: Review first</v>
      </c>
      <c r="P46" s="9" t="n">
        <f aca="false">RANK(U46,$U$5:$U$64,0)+COUNTIF($U$5:U46,U46)-1</f>
        <v>7</v>
      </c>
      <c r="Q46" s="10" t="s">
        <v>283</v>
      </c>
      <c r="R46" s="10" t="s">
        <v>81</v>
      </c>
      <c r="S46" s="11" t="s">
        <v>284</v>
      </c>
      <c r="T46" s="11"/>
      <c r="U46" s="9" t="n">
        <f aca="false">N46*100+F46*10+K46</f>
        <v>2054</v>
      </c>
    </row>
    <row r="47" customFormat="false" ht="23.85" hidden="false" customHeight="false" outlineLevel="0" collapsed="false">
      <c r="A47" s="9" t="s">
        <v>285</v>
      </c>
      <c r="B47" s="10" t="s">
        <v>275</v>
      </c>
      <c r="C47" s="10" t="s">
        <v>286</v>
      </c>
      <c r="D47" s="10" t="s">
        <v>287</v>
      </c>
      <c r="E47" s="11" t="s">
        <v>78</v>
      </c>
      <c r="F47" s="9" t="n">
        <f aca="false">IFERROR(VLOOKUP(E47,Scales!$B$6:$C$9,2,FALSE()),0)</f>
        <v>4</v>
      </c>
      <c r="G47" s="12" t="n">
        <v>3</v>
      </c>
      <c r="H47" s="12" t="n">
        <v>1</v>
      </c>
      <c r="I47" s="12" t="s">
        <v>86</v>
      </c>
      <c r="J47" s="11" t="s">
        <v>63</v>
      </c>
      <c r="K47" s="9" t="n">
        <f aca="false">IF(AND(I47="Yes",G47+H47&gt;=2),5,IF(OR(AND(H47&gt;=1,G47&gt;=1),G47&gt;=3),4,IF(OR(G47&gt;=2,H47&gt;=1),3,IF(G47&gt;=1,2,1))))</f>
        <v>5</v>
      </c>
      <c r="L47" s="12" t="n">
        <v>0</v>
      </c>
      <c r="M47" s="9" t="n">
        <f aca="false">MAX(1,MIN(5,K47+L47))</f>
        <v>5</v>
      </c>
      <c r="N47" s="9" t="n">
        <f aca="false">F47*M47</f>
        <v>20</v>
      </c>
      <c r="O47" s="10" t="str">
        <f aca="false">IF(N47&gt;=Scales!$C$21,Scales!$B$21,IF(N47&gt;=Scales!$C$22,Scales!$B$22,Scales!$B$23))</f>
        <v>Tier 1: Review first</v>
      </c>
      <c r="P47" s="9" t="n">
        <f aca="false">RANK(U47,$U$5:$U$64,0)+COUNTIF($U$5:U47,U47)-1</f>
        <v>11</v>
      </c>
      <c r="Q47" s="10" t="s">
        <v>288</v>
      </c>
      <c r="R47" s="10" t="s">
        <v>81</v>
      </c>
      <c r="S47" s="11" t="s">
        <v>66</v>
      </c>
      <c r="T47" s="11"/>
      <c r="U47" s="9" t="n">
        <f aca="false">N47*100+F47*10+K47</f>
        <v>2045</v>
      </c>
    </row>
    <row r="48" customFormat="false" ht="23.85" hidden="false" customHeight="false" outlineLevel="0" collapsed="false">
      <c r="A48" s="9" t="s">
        <v>289</v>
      </c>
      <c r="B48" s="10" t="s">
        <v>275</v>
      </c>
      <c r="C48" s="10" t="s">
        <v>290</v>
      </c>
      <c r="D48" s="10" t="s">
        <v>291</v>
      </c>
      <c r="E48" s="11" t="s">
        <v>78</v>
      </c>
      <c r="F48" s="9" t="n">
        <f aca="false">IFERROR(VLOOKUP(E48,Scales!$B$6:$C$9,2,FALSE()),0)</f>
        <v>4</v>
      </c>
      <c r="G48" s="12" t="n">
        <v>2</v>
      </c>
      <c r="H48" s="12" t="n">
        <v>1</v>
      </c>
      <c r="I48" s="12" t="s">
        <v>86</v>
      </c>
      <c r="J48" s="11" t="s">
        <v>292</v>
      </c>
      <c r="K48" s="9" t="n">
        <f aca="false">IF(AND(I48="Yes",G48+H48&gt;=2),5,IF(OR(AND(H48&gt;=1,G48&gt;=1),G48&gt;=3),4,IF(OR(G48&gt;=2,H48&gt;=1),3,IF(G48&gt;=1,2,1))))</f>
        <v>5</v>
      </c>
      <c r="L48" s="12" t="n">
        <v>0</v>
      </c>
      <c r="M48" s="9" t="n">
        <f aca="false">MAX(1,MIN(5,K48+L48))</f>
        <v>5</v>
      </c>
      <c r="N48" s="9" t="n">
        <f aca="false">F48*M48</f>
        <v>20</v>
      </c>
      <c r="O48" s="10" t="str">
        <f aca="false">IF(N48&gt;=Scales!$C$21,Scales!$B$21,IF(N48&gt;=Scales!$C$22,Scales!$B$22,Scales!$B$23))</f>
        <v>Tier 1: Review first</v>
      </c>
      <c r="P48" s="9" t="n">
        <f aca="false">RANK(U48,$U$5:$U$64,0)+COUNTIF($U$5:U48,U48)-1</f>
        <v>12</v>
      </c>
      <c r="Q48" s="10" t="s">
        <v>293</v>
      </c>
      <c r="R48" s="10" t="s">
        <v>89</v>
      </c>
      <c r="S48" s="11" t="s">
        <v>294</v>
      </c>
      <c r="T48" s="11"/>
      <c r="U48" s="9" t="n">
        <f aca="false">N48*100+F48*10+K48</f>
        <v>2045</v>
      </c>
    </row>
    <row r="49" customFormat="false" ht="23.85" hidden="false" customHeight="false" outlineLevel="0" collapsed="false">
      <c r="A49" s="9" t="s">
        <v>295</v>
      </c>
      <c r="B49" s="10" t="s">
        <v>275</v>
      </c>
      <c r="C49" s="10" t="s">
        <v>296</v>
      </c>
      <c r="D49" s="10" t="s">
        <v>297</v>
      </c>
      <c r="E49" s="11" t="s">
        <v>93</v>
      </c>
      <c r="F49" s="9" t="n">
        <f aca="false">IFERROR(VLOOKUP(E49,Scales!$B$6:$C$9,2,FALSE()),0)</f>
        <v>5</v>
      </c>
      <c r="G49" s="12" t="n">
        <v>3</v>
      </c>
      <c r="H49" s="12" t="n">
        <v>2</v>
      </c>
      <c r="I49" s="12" t="s">
        <v>55</v>
      </c>
      <c r="J49" s="11" t="s">
        <v>278</v>
      </c>
      <c r="K49" s="9" t="n">
        <f aca="false">IF(AND(I49="Yes",G49+H49&gt;=2),5,IF(OR(AND(H49&gt;=1,G49&gt;=1),G49&gt;=3),4,IF(OR(G49&gt;=2,H49&gt;=1),3,IF(G49&gt;=1,2,1))))</f>
        <v>4</v>
      </c>
      <c r="L49" s="12" t="n">
        <v>0</v>
      </c>
      <c r="M49" s="9" t="n">
        <f aca="false">MAX(1,MIN(5,K49+L49))</f>
        <v>4</v>
      </c>
      <c r="N49" s="9" t="n">
        <f aca="false">F49*M49</f>
        <v>20</v>
      </c>
      <c r="O49" s="10" t="str">
        <f aca="false">IF(N49&gt;=Scales!$C$21,Scales!$B$21,IF(N49&gt;=Scales!$C$22,Scales!$B$22,Scales!$B$23))</f>
        <v>Tier 1: Review first</v>
      </c>
      <c r="P49" s="9" t="n">
        <f aca="false">RANK(U49,$U$5:$U$64,0)+COUNTIF($U$5:U49,U49)-1</f>
        <v>8</v>
      </c>
      <c r="Q49" s="10" t="s">
        <v>298</v>
      </c>
      <c r="R49" s="10" t="s">
        <v>89</v>
      </c>
      <c r="S49" s="11" t="s">
        <v>284</v>
      </c>
      <c r="T49" s="11"/>
      <c r="U49" s="9" t="n">
        <f aca="false">N49*100+F49*10+K49</f>
        <v>2054</v>
      </c>
    </row>
    <row r="50" customFormat="false" ht="23.85" hidden="false" customHeight="false" outlineLevel="0" collapsed="false">
      <c r="A50" s="9" t="s">
        <v>299</v>
      </c>
      <c r="B50" s="10" t="s">
        <v>275</v>
      </c>
      <c r="C50" s="10" t="s">
        <v>300</v>
      </c>
      <c r="D50" s="10" t="s">
        <v>301</v>
      </c>
      <c r="E50" s="11" t="s">
        <v>93</v>
      </c>
      <c r="F50" s="9" t="n">
        <f aca="false">IFERROR(VLOOKUP(E50,Scales!$B$6:$C$9,2,FALSE()),0)</f>
        <v>5</v>
      </c>
      <c r="G50" s="12" t="n">
        <v>2</v>
      </c>
      <c r="H50" s="12" t="n">
        <v>0</v>
      </c>
      <c r="I50" s="12" t="s">
        <v>55</v>
      </c>
      <c r="J50" s="11" t="s">
        <v>302</v>
      </c>
      <c r="K50" s="9" t="n">
        <f aca="false">IF(AND(I50="Yes",G50+H50&gt;=2),5,IF(OR(AND(H50&gt;=1,G50&gt;=1),G50&gt;=3),4,IF(OR(G50&gt;=2,H50&gt;=1),3,IF(G50&gt;=1,2,1))))</f>
        <v>3</v>
      </c>
      <c r="L50" s="12" t="n">
        <v>0</v>
      </c>
      <c r="M50" s="9" t="n">
        <f aca="false">MAX(1,MIN(5,K50+L50))</f>
        <v>3</v>
      </c>
      <c r="N50" s="9" t="n">
        <f aca="false">F50*M50</f>
        <v>15</v>
      </c>
      <c r="O50" s="10" t="str">
        <f aca="false">IF(N50&gt;=Scales!$C$21,Scales!$B$21,IF(N50&gt;=Scales!$C$22,Scales!$B$22,Scales!$B$23))</f>
        <v>Tier 2: Standard</v>
      </c>
      <c r="P50" s="9" t="n">
        <f aca="false">RANK(U50,$U$5:$U$64,0)+COUNTIF($U$5:U50,U50)-1</f>
        <v>16</v>
      </c>
      <c r="Q50" s="10" t="s">
        <v>303</v>
      </c>
      <c r="R50" s="10" t="s">
        <v>89</v>
      </c>
      <c r="S50" s="11" t="s">
        <v>304</v>
      </c>
      <c r="T50" s="11"/>
      <c r="U50" s="9" t="n">
        <f aca="false">N50*100+F50*10+K50</f>
        <v>1553</v>
      </c>
    </row>
    <row r="51" customFormat="false" ht="23.85" hidden="false" customHeight="false" outlineLevel="0" collapsed="false">
      <c r="A51" s="9" t="s">
        <v>305</v>
      </c>
      <c r="B51" s="10" t="s">
        <v>275</v>
      </c>
      <c r="C51" s="10" t="s">
        <v>306</v>
      </c>
      <c r="D51" s="10" t="s">
        <v>307</v>
      </c>
      <c r="E51" s="11" t="s">
        <v>78</v>
      </c>
      <c r="F51" s="9" t="n">
        <f aca="false">IFERROR(VLOOKUP(E51,Scales!$B$6:$C$9,2,FALSE()),0)</f>
        <v>4</v>
      </c>
      <c r="G51" s="12" t="n">
        <v>1</v>
      </c>
      <c r="H51" s="12" t="n">
        <v>0</v>
      </c>
      <c r="I51" s="12" t="s">
        <v>55</v>
      </c>
      <c r="J51" s="11" t="s">
        <v>208</v>
      </c>
      <c r="K51" s="9" t="n">
        <f aca="false">IF(AND(I51="Yes",G51+H51&gt;=2),5,IF(OR(AND(H51&gt;=1,G51&gt;=1),G51&gt;=3),4,IF(OR(G51&gt;=2,H51&gt;=1),3,IF(G51&gt;=1,2,1))))</f>
        <v>2</v>
      </c>
      <c r="L51" s="12" t="n">
        <v>0</v>
      </c>
      <c r="M51" s="9" t="n">
        <f aca="false">MAX(1,MIN(5,K51+L51))</f>
        <v>2</v>
      </c>
      <c r="N51" s="9" t="n">
        <f aca="false">F51*M51</f>
        <v>8</v>
      </c>
      <c r="O51" s="10" t="str">
        <f aca="false">IF(N51&gt;=Scales!$C$21,Scales!$B$21,IF(N51&gt;=Scales!$C$22,Scales!$B$22,Scales!$B$23))</f>
        <v>Tier 2: Standard</v>
      </c>
      <c r="P51" s="9" t="n">
        <f aca="false">RANK(U51,$U$5:$U$64,0)+COUNTIF($U$5:U51,U51)-1</f>
        <v>36</v>
      </c>
      <c r="Q51" s="10" t="s">
        <v>308</v>
      </c>
      <c r="R51" s="10" t="s">
        <v>89</v>
      </c>
      <c r="S51" s="11" t="s">
        <v>294</v>
      </c>
      <c r="T51" s="11"/>
      <c r="U51" s="9" t="n">
        <f aca="false">N51*100+F51*10+K51</f>
        <v>842</v>
      </c>
    </row>
    <row r="52" customFormat="false" ht="23.85" hidden="false" customHeight="false" outlineLevel="0" collapsed="false">
      <c r="A52" s="9" t="s">
        <v>309</v>
      </c>
      <c r="B52" s="10" t="s">
        <v>275</v>
      </c>
      <c r="C52" s="10" t="s">
        <v>310</v>
      </c>
      <c r="D52" s="10" t="s">
        <v>311</v>
      </c>
      <c r="E52" s="11" t="s">
        <v>93</v>
      </c>
      <c r="F52" s="9" t="n">
        <f aca="false">IFERROR(VLOOKUP(E52,Scales!$B$6:$C$9,2,FALSE()),0)</f>
        <v>5</v>
      </c>
      <c r="G52" s="12" t="n">
        <v>1</v>
      </c>
      <c r="H52" s="12" t="n">
        <v>0</v>
      </c>
      <c r="I52" s="12" t="s">
        <v>55</v>
      </c>
      <c r="J52" s="11" t="s">
        <v>208</v>
      </c>
      <c r="K52" s="9" t="n">
        <f aca="false">IF(AND(I52="Yes",G52+H52&gt;=2),5,IF(OR(AND(H52&gt;=1,G52&gt;=1),G52&gt;=3),4,IF(OR(G52&gt;=2,H52&gt;=1),3,IF(G52&gt;=1,2,1))))</f>
        <v>2</v>
      </c>
      <c r="L52" s="12" t="n">
        <v>0</v>
      </c>
      <c r="M52" s="9" t="n">
        <f aca="false">MAX(1,MIN(5,K52+L52))</f>
        <v>2</v>
      </c>
      <c r="N52" s="9" t="n">
        <f aca="false">F52*M52</f>
        <v>10</v>
      </c>
      <c r="O52" s="10" t="str">
        <f aca="false">IF(N52&gt;=Scales!$C$21,Scales!$B$21,IF(N52&gt;=Scales!$C$22,Scales!$B$22,Scales!$B$23))</f>
        <v>Tier 2: Standard</v>
      </c>
      <c r="P52" s="9" t="n">
        <f aca="false">RANK(U52,$U$5:$U$64,0)+COUNTIF($U$5:U52,U52)-1</f>
        <v>25</v>
      </c>
      <c r="Q52" s="10" t="s">
        <v>312</v>
      </c>
      <c r="R52" s="10" t="s">
        <v>89</v>
      </c>
      <c r="S52" s="11" t="s">
        <v>294</v>
      </c>
      <c r="T52" s="11"/>
      <c r="U52" s="9" t="n">
        <f aca="false">N52*100+F52*10+K52</f>
        <v>1052</v>
      </c>
    </row>
    <row r="53" customFormat="false" ht="23.85" hidden="false" customHeight="false" outlineLevel="0" collapsed="false">
      <c r="A53" s="9" t="s">
        <v>313</v>
      </c>
      <c r="B53" s="10" t="s">
        <v>275</v>
      </c>
      <c r="C53" s="10" t="s">
        <v>314</v>
      </c>
      <c r="D53" s="10" t="s">
        <v>315</v>
      </c>
      <c r="E53" s="11" t="s">
        <v>78</v>
      </c>
      <c r="F53" s="9" t="n">
        <f aca="false">IFERROR(VLOOKUP(E53,Scales!$B$6:$C$9,2,FALSE()),0)</f>
        <v>4</v>
      </c>
      <c r="G53" s="12" t="n">
        <v>1</v>
      </c>
      <c r="H53" s="12" t="n">
        <v>0</v>
      </c>
      <c r="I53" s="12" t="s">
        <v>55</v>
      </c>
      <c r="J53" s="11" t="s">
        <v>316</v>
      </c>
      <c r="K53" s="9" t="n">
        <f aca="false">IF(AND(I53="Yes",G53+H53&gt;=2),5,IF(OR(AND(H53&gt;=1,G53&gt;=1),G53&gt;=3),4,IF(OR(G53&gt;=2,H53&gt;=1),3,IF(G53&gt;=1,2,1))))</f>
        <v>2</v>
      </c>
      <c r="L53" s="12" t="n">
        <v>0</v>
      </c>
      <c r="M53" s="9" t="n">
        <f aca="false">MAX(1,MIN(5,K53+L53))</f>
        <v>2</v>
      </c>
      <c r="N53" s="9" t="n">
        <f aca="false">F53*M53</f>
        <v>8</v>
      </c>
      <c r="O53" s="10" t="str">
        <f aca="false">IF(N53&gt;=Scales!$C$21,Scales!$B$21,IF(N53&gt;=Scales!$C$22,Scales!$B$22,Scales!$B$23))</f>
        <v>Tier 2: Standard</v>
      </c>
      <c r="P53" s="9" t="n">
        <f aca="false">RANK(U53,$U$5:$U$64,0)+COUNTIF($U$5:U53,U53)-1</f>
        <v>37</v>
      </c>
      <c r="Q53" s="10" t="s">
        <v>317</v>
      </c>
      <c r="R53" s="10" t="s">
        <v>89</v>
      </c>
      <c r="S53" s="11" t="s">
        <v>66</v>
      </c>
      <c r="T53" s="11"/>
      <c r="U53" s="9" t="n">
        <f aca="false">N53*100+F53*10+K53</f>
        <v>842</v>
      </c>
    </row>
    <row r="54" customFormat="false" ht="23.85" hidden="false" customHeight="false" outlineLevel="0" collapsed="false">
      <c r="A54" s="9" t="s">
        <v>318</v>
      </c>
      <c r="B54" s="10" t="s">
        <v>275</v>
      </c>
      <c r="C54" s="10" t="s">
        <v>319</v>
      </c>
      <c r="D54" s="10" t="s">
        <v>320</v>
      </c>
      <c r="E54" s="11" t="s">
        <v>93</v>
      </c>
      <c r="F54" s="9" t="n">
        <f aca="false">IFERROR(VLOOKUP(E54,Scales!$B$6:$C$9,2,FALSE()),0)</f>
        <v>5</v>
      </c>
      <c r="G54" s="12" t="n">
        <v>0</v>
      </c>
      <c r="H54" s="12" t="n">
        <v>0</v>
      </c>
      <c r="I54" s="12" t="s">
        <v>55</v>
      </c>
      <c r="J54" s="11" t="s">
        <v>197</v>
      </c>
      <c r="K54" s="9" t="n">
        <f aca="false">IF(AND(I54="Yes",G54+H54&gt;=2),5,IF(OR(AND(H54&gt;=1,G54&gt;=1),G54&gt;=3),4,IF(OR(G54&gt;=2,H54&gt;=1),3,IF(G54&gt;=1,2,1))))</f>
        <v>1</v>
      </c>
      <c r="L54" s="12" t="n">
        <v>0</v>
      </c>
      <c r="M54" s="9" t="n">
        <f aca="false">MAX(1,MIN(5,K54+L54))</f>
        <v>1</v>
      </c>
      <c r="N54" s="9" t="n">
        <f aca="false">F54*M54</f>
        <v>5</v>
      </c>
      <c r="O54" s="10" t="str">
        <f aca="false">IF(N54&gt;=Scales!$C$21,Scales!$B$21,IF(N54&gt;=Scales!$C$22,Scales!$B$22,Scales!$B$23))</f>
        <v>Tier 3: Spot check</v>
      </c>
      <c r="P54" s="9" t="n">
        <f aca="false">RANK(U54,$U$5:$U$64,0)+COUNTIF($U$5:U54,U54)-1</f>
        <v>42</v>
      </c>
      <c r="Q54" s="10" t="s">
        <v>321</v>
      </c>
      <c r="R54" s="10" t="s">
        <v>81</v>
      </c>
      <c r="S54" s="11" t="s">
        <v>66</v>
      </c>
      <c r="T54" s="11"/>
      <c r="U54" s="9" t="n">
        <f aca="false">N54*100+F54*10+K54</f>
        <v>551</v>
      </c>
    </row>
    <row r="55" customFormat="false" ht="23.85" hidden="false" customHeight="false" outlineLevel="0" collapsed="false">
      <c r="A55" s="9" t="s">
        <v>322</v>
      </c>
      <c r="B55" s="10" t="s">
        <v>275</v>
      </c>
      <c r="C55" s="10" t="s">
        <v>323</v>
      </c>
      <c r="D55" s="10" t="s">
        <v>324</v>
      </c>
      <c r="E55" s="11" t="s">
        <v>214</v>
      </c>
      <c r="F55" s="9" t="n">
        <f aca="false">IFERROR(VLOOKUP(E55,Scales!$B$6:$C$9,2,FALSE()),0)</f>
        <v>2</v>
      </c>
      <c r="G55" s="12" t="n">
        <v>0</v>
      </c>
      <c r="H55" s="12" t="n">
        <v>0</v>
      </c>
      <c r="I55" s="12" t="s">
        <v>55</v>
      </c>
      <c r="J55" s="11" t="s">
        <v>197</v>
      </c>
      <c r="K55" s="9" t="n">
        <f aca="false">IF(AND(I55="Yes",G55+H55&gt;=2),5,IF(OR(AND(H55&gt;=1,G55&gt;=1),G55&gt;=3),4,IF(OR(G55&gt;=2,H55&gt;=1),3,IF(G55&gt;=1,2,1))))</f>
        <v>1</v>
      </c>
      <c r="L55" s="12" t="n">
        <v>0</v>
      </c>
      <c r="M55" s="9" t="n">
        <f aca="false">MAX(1,MIN(5,K55+L55))</f>
        <v>1</v>
      </c>
      <c r="N55" s="9" t="n">
        <f aca="false">F55*M55</f>
        <v>2</v>
      </c>
      <c r="O55" s="10" t="str">
        <f aca="false">IF(N55&gt;=Scales!$C$21,Scales!$B$21,IF(N55&gt;=Scales!$C$22,Scales!$B$22,Scales!$B$23))</f>
        <v>Tier 3: Spot check</v>
      </c>
      <c r="P55" s="9" t="n">
        <f aca="false">RANK(U55,$U$5:$U$64,0)+COUNTIF($U$5:U55,U55)-1</f>
        <v>55</v>
      </c>
      <c r="Q55" s="10" t="s">
        <v>325</v>
      </c>
      <c r="R55" s="10" t="s">
        <v>81</v>
      </c>
      <c r="S55" s="11" t="s">
        <v>66</v>
      </c>
      <c r="T55" s="11"/>
      <c r="U55" s="9" t="n">
        <f aca="false">N55*100+F55*10+K55</f>
        <v>221</v>
      </c>
    </row>
    <row r="56" customFormat="false" ht="23.85" hidden="false" customHeight="false" outlineLevel="0" collapsed="false">
      <c r="A56" s="9" t="s">
        <v>326</v>
      </c>
      <c r="B56" s="10" t="s">
        <v>275</v>
      </c>
      <c r="C56" s="10" t="s">
        <v>327</v>
      </c>
      <c r="D56" s="10" t="s">
        <v>328</v>
      </c>
      <c r="E56" s="11" t="s">
        <v>93</v>
      </c>
      <c r="F56" s="9" t="n">
        <f aca="false">IFERROR(VLOOKUP(E56,Scales!$B$6:$C$9,2,FALSE()),0)</f>
        <v>5</v>
      </c>
      <c r="G56" s="12" t="n">
        <v>0</v>
      </c>
      <c r="H56" s="12" t="n">
        <v>0</v>
      </c>
      <c r="I56" s="12" t="s">
        <v>55</v>
      </c>
      <c r="J56" s="11" t="s">
        <v>197</v>
      </c>
      <c r="K56" s="9" t="n">
        <f aca="false">IF(AND(I56="Yes",G56+H56&gt;=2),5,IF(OR(AND(H56&gt;=1,G56&gt;=1),G56&gt;=3),4,IF(OR(G56&gt;=2,H56&gt;=1),3,IF(G56&gt;=1,2,1))))</f>
        <v>1</v>
      </c>
      <c r="L56" s="12" t="n">
        <v>0</v>
      </c>
      <c r="M56" s="9" t="n">
        <f aca="false">MAX(1,MIN(5,K56+L56))</f>
        <v>1</v>
      </c>
      <c r="N56" s="9" t="n">
        <f aca="false">F56*M56</f>
        <v>5</v>
      </c>
      <c r="O56" s="10" t="str">
        <f aca="false">IF(N56&gt;=Scales!$C$21,Scales!$B$21,IF(N56&gt;=Scales!$C$22,Scales!$B$22,Scales!$B$23))</f>
        <v>Tier 3: Spot check</v>
      </c>
      <c r="P56" s="9" t="n">
        <f aca="false">RANK(U56,$U$5:$U$64,0)+COUNTIF($U$5:U56,U56)-1</f>
        <v>43</v>
      </c>
      <c r="Q56" s="10" t="s">
        <v>329</v>
      </c>
      <c r="R56" s="10" t="s">
        <v>81</v>
      </c>
      <c r="S56" s="11" t="s">
        <v>66</v>
      </c>
      <c r="T56" s="11"/>
      <c r="U56" s="9" t="n">
        <f aca="false">N56*100+F56*10+K56</f>
        <v>551</v>
      </c>
    </row>
    <row r="57" customFormat="false" ht="23.85" hidden="false" customHeight="false" outlineLevel="0" collapsed="false">
      <c r="A57" s="9" t="s">
        <v>330</v>
      </c>
      <c r="B57" s="10" t="s">
        <v>331</v>
      </c>
      <c r="C57" s="10" t="s">
        <v>332</v>
      </c>
      <c r="D57" s="10" t="s">
        <v>333</v>
      </c>
      <c r="E57" s="11" t="s">
        <v>78</v>
      </c>
      <c r="F57" s="9" t="n">
        <f aca="false">IFERROR(VLOOKUP(E57,Scales!$B$6:$C$9,2,FALSE()),0)</f>
        <v>4</v>
      </c>
      <c r="G57" s="12" t="n">
        <v>3</v>
      </c>
      <c r="H57" s="12" t="n">
        <v>1</v>
      </c>
      <c r="I57" s="12" t="s">
        <v>86</v>
      </c>
      <c r="J57" s="11" t="s">
        <v>63</v>
      </c>
      <c r="K57" s="9" t="n">
        <f aca="false">IF(AND(I57="Yes",G57+H57&gt;=2),5,IF(OR(AND(H57&gt;=1,G57&gt;=1),G57&gt;=3),4,IF(OR(G57&gt;=2,H57&gt;=1),3,IF(G57&gt;=1,2,1))))</f>
        <v>5</v>
      </c>
      <c r="L57" s="12" t="n">
        <v>0</v>
      </c>
      <c r="M57" s="9" t="n">
        <f aca="false">MAX(1,MIN(5,K57+L57))</f>
        <v>5</v>
      </c>
      <c r="N57" s="9" t="n">
        <f aca="false">F57*M57</f>
        <v>20</v>
      </c>
      <c r="O57" s="10" t="str">
        <f aca="false">IF(N57&gt;=Scales!$C$21,Scales!$B$21,IF(N57&gt;=Scales!$C$22,Scales!$B$22,Scales!$B$23))</f>
        <v>Tier 1: Review first</v>
      </c>
      <c r="P57" s="9" t="n">
        <f aca="false">RANK(U57,$U$5:$U$64,0)+COUNTIF($U$5:U57,U57)-1</f>
        <v>13</v>
      </c>
      <c r="Q57" s="10" t="s">
        <v>334</v>
      </c>
      <c r="R57" s="10" t="s">
        <v>335</v>
      </c>
      <c r="S57" s="11" t="s">
        <v>189</v>
      </c>
      <c r="T57" s="11"/>
      <c r="U57" s="9" t="n">
        <f aca="false">N57*100+F57*10+K57</f>
        <v>2045</v>
      </c>
    </row>
    <row r="58" customFormat="false" ht="23.85" hidden="false" customHeight="false" outlineLevel="0" collapsed="false">
      <c r="A58" s="9" t="s">
        <v>336</v>
      </c>
      <c r="B58" s="10" t="s">
        <v>331</v>
      </c>
      <c r="C58" s="10" t="s">
        <v>337</v>
      </c>
      <c r="D58" s="10" t="s">
        <v>338</v>
      </c>
      <c r="E58" s="11" t="s">
        <v>78</v>
      </c>
      <c r="F58" s="9" t="n">
        <f aca="false">IFERROR(VLOOKUP(E58,Scales!$B$6:$C$9,2,FALSE()),0)</f>
        <v>4</v>
      </c>
      <c r="G58" s="12" t="n">
        <v>1</v>
      </c>
      <c r="H58" s="12" t="n">
        <v>0</v>
      </c>
      <c r="I58" s="12" t="s">
        <v>55</v>
      </c>
      <c r="J58" s="11" t="s">
        <v>70</v>
      </c>
      <c r="K58" s="9" t="n">
        <f aca="false">IF(AND(I58="Yes",G58+H58&gt;=2),5,IF(OR(AND(H58&gt;=1,G58&gt;=1),G58&gt;=3),4,IF(OR(G58&gt;=2,H58&gt;=1),3,IF(G58&gt;=1,2,1))))</f>
        <v>2</v>
      </c>
      <c r="L58" s="12" t="n">
        <v>0</v>
      </c>
      <c r="M58" s="9" t="n">
        <f aca="false">MAX(1,MIN(5,K58+L58))</f>
        <v>2</v>
      </c>
      <c r="N58" s="9" t="n">
        <f aca="false">F58*M58</f>
        <v>8</v>
      </c>
      <c r="O58" s="10" t="str">
        <f aca="false">IF(N58&gt;=Scales!$C$21,Scales!$B$21,IF(N58&gt;=Scales!$C$22,Scales!$B$22,Scales!$B$23))</f>
        <v>Tier 2: Standard</v>
      </c>
      <c r="P58" s="9" t="n">
        <f aca="false">RANK(U58,$U$5:$U$64,0)+COUNTIF($U$5:U58,U58)-1</f>
        <v>38</v>
      </c>
      <c r="Q58" s="10" t="s">
        <v>339</v>
      </c>
      <c r="R58" s="10" t="s">
        <v>81</v>
      </c>
      <c r="S58" s="11" t="s">
        <v>189</v>
      </c>
      <c r="T58" s="11"/>
      <c r="U58" s="9" t="n">
        <f aca="false">N58*100+F58*10+K58</f>
        <v>842</v>
      </c>
    </row>
    <row r="59" customFormat="false" ht="23.85" hidden="false" customHeight="false" outlineLevel="0" collapsed="false">
      <c r="A59" s="9" t="s">
        <v>340</v>
      </c>
      <c r="B59" s="10" t="s">
        <v>331</v>
      </c>
      <c r="C59" s="10" t="s">
        <v>341</v>
      </c>
      <c r="D59" s="10" t="s">
        <v>342</v>
      </c>
      <c r="E59" s="11" t="s">
        <v>214</v>
      </c>
      <c r="F59" s="9" t="n">
        <f aca="false">IFERROR(VLOOKUP(E59,Scales!$B$6:$C$9,2,FALSE()),0)</f>
        <v>2</v>
      </c>
      <c r="G59" s="12" t="n">
        <v>1</v>
      </c>
      <c r="H59" s="12" t="n">
        <v>0</v>
      </c>
      <c r="I59" s="12" t="s">
        <v>55</v>
      </c>
      <c r="J59" s="11" t="s">
        <v>208</v>
      </c>
      <c r="K59" s="9" t="n">
        <f aca="false">IF(AND(I59="Yes",G59+H59&gt;=2),5,IF(OR(AND(H59&gt;=1,G59&gt;=1),G59&gt;=3),4,IF(OR(G59&gt;=2,H59&gt;=1),3,IF(G59&gt;=1,2,1))))</f>
        <v>2</v>
      </c>
      <c r="L59" s="12" t="n">
        <v>0</v>
      </c>
      <c r="M59" s="9" t="n">
        <f aca="false">MAX(1,MIN(5,K59+L59))</f>
        <v>2</v>
      </c>
      <c r="N59" s="9" t="n">
        <f aca="false">F59*M59</f>
        <v>4</v>
      </c>
      <c r="O59" s="10" t="str">
        <f aca="false">IF(N59&gt;=Scales!$C$21,Scales!$B$21,IF(N59&gt;=Scales!$C$22,Scales!$B$22,Scales!$B$23))</f>
        <v>Tier 3: Spot check</v>
      </c>
      <c r="P59" s="9" t="n">
        <f aca="false">RANK(U59,$U$5:$U$64,0)+COUNTIF($U$5:U59,U59)-1</f>
        <v>50</v>
      </c>
      <c r="Q59" s="10" t="s">
        <v>343</v>
      </c>
      <c r="R59" s="10" t="s">
        <v>89</v>
      </c>
      <c r="S59" s="11" t="s">
        <v>294</v>
      </c>
      <c r="T59" s="11"/>
      <c r="U59" s="9" t="n">
        <f aca="false">N59*100+F59*10+K59</f>
        <v>422</v>
      </c>
    </row>
    <row r="60" customFormat="false" ht="23.85" hidden="false" customHeight="false" outlineLevel="0" collapsed="false">
      <c r="A60" s="9" t="s">
        <v>344</v>
      </c>
      <c r="B60" s="10" t="s">
        <v>331</v>
      </c>
      <c r="C60" s="10" t="s">
        <v>345</v>
      </c>
      <c r="D60" s="10" t="s">
        <v>346</v>
      </c>
      <c r="E60" s="11" t="s">
        <v>78</v>
      </c>
      <c r="F60" s="9" t="n">
        <f aca="false">IFERROR(VLOOKUP(E60,Scales!$B$6:$C$9,2,FALSE()),0)</f>
        <v>4</v>
      </c>
      <c r="G60" s="12" t="n">
        <v>0</v>
      </c>
      <c r="H60" s="12" t="n">
        <v>0</v>
      </c>
      <c r="I60" s="12" t="s">
        <v>55</v>
      </c>
      <c r="J60" s="11" t="s">
        <v>197</v>
      </c>
      <c r="K60" s="9" t="n">
        <f aca="false">IF(AND(I60="Yes",G60+H60&gt;=2),5,IF(OR(AND(H60&gt;=1,G60&gt;=1),G60&gt;=3),4,IF(OR(G60&gt;=2,H60&gt;=1),3,IF(G60&gt;=1,2,1))))</f>
        <v>1</v>
      </c>
      <c r="L60" s="12" t="n">
        <v>0</v>
      </c>
      <c r="M60" s="9" t="n">
        <f aca="false">MAX(1,MIN(5,K60+L60))</f>
        <v>1</v>
      </c>
      <c r="N60" s="9" t="n">
        <f aca="false">F60*M60</f>
        <v>4</v>
      </c>
      <c r="O60" s="10" t="str">
        <f aca="false">IF(N60&gt;=Scales!$C$21,Scales!$B$21,IF(N60&gt;=Scales!$C$22,Scales!$B$22,Scales!$B$23))</f>
        <v>Tier 3: Spot check</v>
      </c>
      <c r="P60" s="9" t="n">
        <f aca="false">RANK(U60,$U$5:$U$64,0)+COUNTIF($U$5:U60,U60)-1</f>
        <v>46</v>
      </c>
      <c r="Q60" s="10" t="s">
        <v>347</v>
      </c>
      <c r="R60" s="10" t="s">
        <v>89</v>
      </c>
      <c r="S60" s="11" t="s">
        <v>66</v>
      </c>
      <c r="T60" s="11"/>
      <c r="U60" s="9" t="n">
        <f aca="false">N60*100+F60*10+K60</f>
        <v>441</v>
      </c>
    </row>
    <row r="61" customFormat="false" ht="23.85" hidden="false" customHeight="false" outlineLevel="0" collapsed="false">
      <c r="A61" s="9" t="s">
        <v>348</v>
      </c>
      <c r="B61" s="10" t="s">
        <v>331</v>
      </c>
      <c r="C61" s="10" t="s">
        <v>349</v>
      </c>
      <c r="D61" s="10" t="s">
        <v>350</v>
      </c>
      <c r="E61" s="11" t="s">
        <v>78</v>
      </c>
      <c r="F61" s="9" t="n">
        <f aca="false">IFERROR(VLOOKUP(E61,Scales!$B$6:$C$9,2,FALSE()),0)</f>
        <v>4</v>
      </c>
      <c r="G61" s="12" t="n">
        <v>0</v>
      </c>
      <c r="H61" s="12" t="n">
        <v>0</v>
      </c>
      <c r="I61" s="12" t="s">
        <v>55</v>
      </c>
      <c r="J61" s="11" t="s">
        <v>197</v>
      </c>
      <c r="K61" s="9" t="n">
        <f aca="false">IF(AND(I61="Yes",G61+H61&gt;=2),5,IF(OR(AND(H61&gt;=1,G61&gt;=1),G61&gt;=3),4,IF(OR(G61&gt;=2,H61&gt;=1),3,IF(G61&gt;=1,2,1))))</f>
        <v>1</v>
      </c>
      <c r="L61" s="12" t="n">
        <v>0</v>
      </c>
      <c r="M61" s="9" t="n">
        <f aca="false">MAX(1,MIN(5,K61+L61))</f>
        <v>1</v>
      </c>
      <c r="N61" s="9" t="n">
        <f aca="false">F61*M61</f>
        <v>4</v>
      </c>
      <c r="O61" s="10" t="str">
        <f aca="false">IF(N61&gt;=Scales!$C$21,Scales!$B$21,IF(N61&gt;=Scales!$C$22,Scales!$B$22,Scales!$B$23))</f>
        <v>Tier 3: Spot check</v>
      </c>
      <c r="P61" s="9" t="n">
        <f aca="false">RANK(U61,$U$5:$U$64,0)+COUNTIF($U$5:U61,U61)-1</f>
        <v>47</v>
      </c>
      <c r="Q61" s="10" t="s">
        <v>351</v>
      </c>
      <c r="R61" s="10" t="s">
        <v>89</v>
      </c>
      <c r="S61" s="11" t="s">
        <v>66</v>
      </c>
      <c r="T61" s="11"/>
      <c r="U61" s="9" t="n">
        <f aca="false">N61*100+F61*10+K61</f>
        <v>441</v>
      </c>
    </row>
    <row r="62" customFormat="false" ht="23.85" hidden="false" customHeight="false" outlineLevel="0" collapsed="false">
      <c r="A62" s="9" t="s">
        <v>352</v>
      </c>
      <c r="B62" s="10" t="s">
        <v>331</v>
      </c>
      <c r="C62" s="10" t="s">
        <v>353</v>
      </c>
      <c r="D62" s="10" t="s">
        <v>354</v>
      </c>
      <c r="E62" s="11" t="s">
        <v>78</v>
      </c>
      <c r="F62" s="9" t="n">
        <f aca="false">IFERROR(VLOOKUP(E62,Scales!$B$6:$C$9,2,FALSE()),0)</f>
        <v>4</v>
      </c>
      <c r="G62" s="12" t="n">
        <v>0</v>
      </c>
      <c r="H62" s="12" t="n">
        <v>0</v>
      </c>
      <c r="I62" s="12" t="s">
        <v>55</v>
      </c>
      <c r="J62" s="11" t="s">
        <v>197</v>
      </c>
      <c r="K62" s="9" t="n">
        <f aca="false">IF(AND(I62="Yes",G62+H62&gt;=2),5,IF(OR(AND(H62&gt;=1,G62&gt;=1),G62&gt;=3),4,IF(OR(G62&gt;=2,H62&gt;=1),3,IF(G62&gt;=1,2,1))))</f>
        <v>1</v>
      </c>
      <c r="L62" s="12" t="n">
        <v>0</v>
      </c>
      <c r="M62" s="9" t="n">
        <f aca="false">MAX(1,MIN(5,K62+L62))</f>
        <v>1</v>
      </c>
      <c r="N62" s="9" t="n">
        <f aca="false">F62*M62</f>
        <v>4</v>
      </c>
      <c r="O62" s="10" t="str">
        <f aca="false">IF(N62&gt;=Scales!$C$21,Scales!$B$21,IF(N62&gt;=Scales!$C$22,Scales!$B$22,Scales!$B$23))</f>
        <v>Tier 3: Spot check</v>
      </c>
      <c r="P62" s="9" t="n">
        <f aca="false">RANK(U62,$U$5:$U$64,0)+COUNTIF($U$5:U62,U62)-1</f>
        <v>48</v>
      </c>
      <c r="Q62" s="10" t="s">
        <v>355</v>
      </c>
      <c r="R62" s="10" t="s">
        <v>81</v>
      </c>
      <c r="S62" s="11" t="s">
        <v>66</v>
      </c>
      <c r="T62" s="11"/>
      <c r="U62" s="9" t="n">
        <f aca="false">N62*100+F62*10+K62</f>
        <v>441</v>
      </c>
    </row>
    <row r="63" customFormat="false" ht="23.85" hidden="false" customHeight="false" outlineLevel="0" collapsed="false">
      <c r="A63" s="9" t="s">
        <v>356</v>
      </c>
      <c r="B63" s="10" t="s">
        <v>331</v>
      </c>
      <c r="C63" s="10" t="s">
        <v>357</v>
      </c>
      <c r="D63" s="10" t="s">
        <v>358</v>
      </c>
      <c r="E63" s="11" t="s">
        <v>54</v>
      </c>
      <c r="F63" s="9" t="n">
        <f aca="false">IFERROR(VLOOKUP(E63,Scales!$B$6:$C$9,2,FALSE()),0)</f>
        <v>1</v>
      </c>
      <c r="G63" s="12" t="n">
        <v>0</v>
      </c>
      <c r="H63" s="12" t="n">
        <v>0</v>
      </c>
      <c r="I63" s="12" t="s">
        <v>55</v>
      </c>
      <c r="J63" s="11" t="s">
        <v>197</v>
      </c>
      <c r="K63" s="9" t="n">
        <f aca="false">IF(AND(I63="Yes",G63+H63&gt;=2),5,IF(OR(AND(H63&gt;=1,G63&gt;=1),G63&gt;=3),4,IF(OR(G63&gt;=2,H63&gt;=1),3,IF(G63&gt;=1,2,1))))</f>
        <v>1</v>
      </c>
      <c r="L63" s="12" t="n">
        <v>0</v>
      </c>
      <c r="M63" s="9" t="n">
        <f aca="false">MAX(1,MIN(5,K63+L63))</f>
        <v>1</v>
      </c>
      <c r="N63" s="9" t="n">
        <f aca="false">F63*M63</f>
        <v>1</v>
      </c>
      <c r="O63" s="10" t="str">
        <f aca="false">IF(N63&gt;=Scales!$C$21,Scales!$B$21,IF(N63&gt;=Scales!$C$22,Scales!$B$22,Scales!$B$23))</f>
        <v>Tier 3: Spot check</v>
      </c>
      <c r="P63" s="9" t="n">
        <f aca="false">RANK(U63,$U$5:$U$64,0)+COUNTIF($U$5:U63,U63)-1</f>
        <v>59</v>
      </c>
      <c r="Q63" s="10" t="s">
        <v>359</v>
      </c>
      <c r="R63" s="10" t="s">
        <v>360</v>
      </c>
      <c r="S63" s="11" t="s">
        <v>361</v>
      </c>
      <c r="T63" s="11"/>
      <c r="U63" s="9" t="n">
        <f aca="false">N63*100+F63*10+K63</f>
        <v>111</v>
      </c>
    </row>
    <row r="64" customFormat="false" ht="23.85" hidden="false" customHeight="false" outlineLevel="0" collapsed="false">
      <c r="A64" s="9" t="s">
        <v>362</v>
      </c>
      <c r="B64" s="10" t="s">
        <v>331</v>
      </c>
      <c r="C64" s="10" t="s">
        <v>363</v>
      </c>
      <c r="D64" s="10" t="s">
        <v>364</v>
      </c>
      <c r="E64" s="11" t="s">
        <v>54</v>
      </c>
      <c r="F64" s="9" t="n">
        <f aca="false">IFERROR(VLOOKUP(E64,Scales!$B$6:$C$9,2,FALSE()),0)</f>
        <v>1</v>
      </c>
      <c r="G64" s="12" t="n">
        <v>0</v>
      </c>
      <c r="H64" s="12" t="n">
        <v>0</v>
      </c>
      <c r="I64" s="12" t="s">
        <v>55</v>
      </c>
      <c r="J64" s="11" t="s">
        <v>197</v>
      </c>
      <c r="K64" s="9" t="n">
        <f aca="false">IF(AND(I64="Yes",G64+H64&gt;=2),5,IF(OR(AND(H64&gt;=1,G64&gt;=1),G64&gt;=3),4,IF(OR(G64&gt;=2,H64&gt;=1),3,IF(G64&gt;=1,2,1))))</f>
        <v>1</v>
      </c>
      <c r="L64" s="12" t="n">
        <v>0</v>
      </c>
      <c r="M64" s="9" t="n">
        <f aca="false">MAX(1,MIN(5,K64+L64))</f>
        <v>1</v>
      </c>
      <c r="N64" s="9" t="n">
        <f aca="false">F64*M64</f>
        <v>1</v>
      </c>
      <c r="O64" s="10" t="str">
        <f aca="false">IF(N64&gt;=Scales!$C$21,Scales!$B$21,IF(N64&gt;=Scales!$C$22,Scales!$B$22,Scales!$B$23))</f>
        <v>Tier 3: Spot check</v>
      </c>
      <c r="P64" s="9" t="n">
        <f aca="false">RANK(U64,$U$5:$U$64,0)+COUNTIF($U$5:U64,U64)-1</f>
        <v>60</v>
      </c>
      <c r="Q64" s="10" t="s">
        <v>142</v>
      </c>
      <c r="R64" s="10" t="s">
        <v>365</v>
      </c>
      <c r="S64" s="11" t="s">
        <v>66</v>
      </c>
      <c r="T64" s="11"/>
      <c r="U64" s="9" t="n">
        <f aca="false">N64*100+F64*10+K64</f>
        <v>111</v>
      </c>
    </row>
  </sheetData>
  <autoFilter ref="A4:T64"/>
  <conditionalFormatting sqref="O5:O64">
    <cfRule type="expression" priority="2" aboveAverage="0" equalAverage="0" bottom="0" percent="0" rank="0" text="" dxfId="9">
      <formula>LEFT(O5,6)="Tier 1"</formula>
    </cfRule>
    <cfRule type="expression" priority="3" aboveAverage="0" equalAverage="0" bottom="0" percent="0" rank="0" text="" dxfId="10">
      <formula>LEFT(O5,6)="Tier 2"</formula>
    </cfRule>
    <cfRule type="expression" priority="4" aboveAverage="0" equalAverage="0" bottom="0" percent="0" rank="0" text="" dxfId="11">
      <formula>LEFT(O5,6)="Tier 3"</formula>
    </cfRule>
  </conditionalFormatting>
  <dataValidations count="4">
    <dataValidation allowBlank="false" errorStyle="stop" operator="between" showDropDown="false" showErrorMessage="false" showInputMessage="false" sqref="E5:E64" type="list">
      <formula1>"Life safety,Fire,Equipment,Administrative"</formula1>
      <formula2>0</formula2>
    </dataValidation>
    <dataValidation allowBlank="false" errorStyle="stop" operator="between" showDropDown="false" showErrorMessage="false" showInputMessage="false" sqref="G5:H64" type="whole">
      <formula1>0</formula1>
      <formula2>20</formula2>
    </dataValidation>
    <dataValidation allowBlank="false" errorStyle="stop" operator="between" showDropDown="false" showErrorMessage="false" showInputMessage="false" sqref="I5:I64" type="list">
      <formula1>"Yes,No"</formula1>
      <formula2>0</formula2>
    </dataValidation>
    <dataValidation allowBlank="false" error="Enter -2 to 2" errorStyle="stop" operator="between" showDropDown="false" showErrorMessage="true" showInputMessage="false" sqref="L5:L64" type="whole">
      <formula1>-2</formula1>
      <formula2>2</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
    <col collapsed="false" customWidth="true" hidden="false" outlineLevel="0" max="3" min="3" style="0" width="17"/>
    <col collapsed="false" customWidth="true" hidden="false" outlineLevel="0" max="4" min="4" style="0" width="56"/>
    <col collapsed="false" customWidth="true" hidden="false" outlineLevel="0" max="5" min="5" style="0" width="13"/>
    <col collapsed="false" customWidth="true" hidden="false" outlineLevel="0" max="6" min="6" style="0" width="10"/>
    <col collapsed="false" customWidth="true" hidden="false" outlineLevel="0" max="7" min="7" style="0" width="8"/>
    <col collapsed="false" customWidth="true" hidden="false" outlineLevel="0" max="8" min="8" style="0" width="19"/>
    <col collapsed="false" customWidth="true" hidden="false" outlineLevel="0" max="9" min="9" style="0" width="22"/>
    <col collapsed="false" customWidth="true" hidden="false" outlineLevel="0" max="10" min="10" style="0" width="16"/>
  </cols>
  <sheetData>
    <row r="1" customFormat="false" ht="17.35" hidden="false" customHeight="false" outlineLevel="0" collapsed="false">
      <c r="A1" s="6" t="s">
        <v>366</v>
      </c>
    </row>
    <row r="2" customFormat="false" ht="15" hidden="false" customHeight="false" outlineLevel="0" collapsed="false">
      <c r="A2" s="7" t="s">
        <v>367</v>
      </c>
    </row>
    <row r="4" customFormat="false" ht="23.85" hidden="false" customHeight="false" outlineLevel="0" collapsed="false">
      <c r="A4" s="8" t="s">
        <v>44</v>
      </c>
      <c r="B4" s="8" t="s">
        <v>29</v>
      </c>
      <c r="C4" s="8" t="s">
        <v>30</v>
      </c>
      <c r="D4" s="8" t="s">
        <v>31</v>
      </c>
      <c r="E4" s="8" t="s">
        <v>33</v>
      </c>
      <c r="F4" s="8" t="s">
        <v>41</v>
      </c>
      <c r="G4" s="8" t="s">
        <v>42</v>
      </c>
      <c r="H4" s="8" t="s">
        <v>43</v>
      </c>
      <c r="I4" s="8" t="s">
        <v>45</v>
      </c>
      <c r="J4" s="8" t="s">
        <v>38</v>
      </c>
    </row>
    <row r="5" customFormat="false" ht="23.85" hidden="false" customHeight="false" outlineLevel="0" collapsed="false">
      <c r="A5" s="9" t="n">
        <v>1</v>
      </c>
      <c r="B5" s="9" t="str">
        <f aca="false">INDEX('Taxonomy and Risk'!$A$5:$A$64,MATCH($A5,'Taxonomy and Risk'!$P$5:$P$64,0))</f>
        <v>PV-04</v>
      </c>
      <c r="C5" s="10" t="str">
        <f aca="false">INDEX('Taxonomy and Risk'!$B$5:$B$64,MATCH($A5,'Taxonomy and Risk'!$P$5:$P$64,0))</f>
        <v>PV</v>
      </c>
      <c r="D5" s="10" t="str">
        <f aca="false">INDEX('Taxonomy and Risk'!$C$5:$C$64,MATCH($A5,'Taxonomy and Risk'!$P$5:$P$64,0))</f>
        <v>Roof access pathways and setbacks for firefighters not shown</v>
      </c>
      <c r="E5" s="10" t="str">
        <f aca="false">INDEX('Taxonomy and Risk'!$E$5:$E$64,MATCH($A5,'Taxonomy and Risk'!$P$5:$P$64,0))</f>
        <v>Life safety</v>
      </c>
      <c r="F5" s="9" t="n">
        <f aca="false">INDEX('Taxonomy and Risk'!$M$5:$M$64,MATCH($A5,'Taxonomy and Risk'!$P$5:$P$64,0))</f>
        <v>5</v>
      </c>
      <c r="G5" s="9" t="n">
        <f aca="false">INDEX('Taxonomy and Risk'!$N$5:$N$64,MATCH($A5,'Taxonomy and Risk'!$P$5:$P$64,0))</f>
        <v>25</v>
      </c>
      <c r="H5" s="10" t="str">
        <f aca="false">INDEX('Taxonomy and Risk'!$O$5:$O$64,MATCH($A5,'Taxonomy and Risk'!$P$5:$P$64,0))</f>
        <v>Tier 1: Review first</v>
      </c>
      <c r="I5" s="10" t="str">
        <f aca="false">INDEX('Taxonomy and Risk'!$Q$5:$Q$64,MATCH($A5,'Taxonomy and Risk'!$P$5:$P$64,0))</f>
        <v>None (building and fire code item)</v>
      </c>
      <c r="J5" s="10" t="str">
        <f aca="false">INDEX('Taxonomy and Risk'!$J$5:$J$64,MATCH($A5,'Taxonomy and Risk'!$P$5:$P$64,0))</f>
        <v>S1, S9, S11</v>
      </c>
    </row>
    <row r="6" customFormat="false" ht="23.85" hidden="false" customHeight="false" outlineLevel="0" collapsed="false">
      <c r="A6" s="9" t="n">
        <v>2</v>
      </c>
      <c r="B6" s="9" t="str">
        <f aca="false">INDEX('Taxonomy and Risk'!$A$5:$A$64,MATCH($A6,'Taxonomy and Risk'!$P$5:$P$64,0))</f>
        <v>SD-01</v>
      </c>
      <c r="C6" s="10" t="str">
        <f aca="false">INDEX('Taxonomy and Risk'!$B$5:$B$64,MATCH($A6,'Taxonomy and Risk'!$P$5:$P$64,0))</f>
        <v>Service and distribution</v>
      </c>
      <c r="D6" s="10" t="str">
        <f aca="false">INDEX('Taxonomy and Risk'!$C$5:$C$64,MATCH($A6,'Taxonomy and Risk'!$P$5:$P$64,0))</f>
        <v>Available fault current not shown, or equipment ratings below it</v>
      </c>
      <c r="E6" s="10" t="str">
        <f aca="false">INDEX('Taxonomy and Risk'!$E$5:$E$64,MATCH($A6,'Taxonomy and Risk'!$P$5:$P$64,0))</f>
        <v>Life safety</v>
      </c>
      <c r="F6" s="9" t="n">
        <f aca="false">INDEX('Taxonomy and Risk'!$M$5:$M$64,MATCH($A6,'Taxonomy and Risk'!$P$5:$P$64,0))</f>
        <v>5</v>
      </c>
      <c r="G6" s="9" t="n">
        <f aca="false">INDEX('Taxonomy and Risk'!$N$5:$N$64,MATCH($A6,'Taxonomy and Risk'!$P$5:$P$64,0))</f>
        <v>25</v>
      </c>
      <c r="H6" s="10" t="str">
        <f aca="false">INDEX('Taxonomy and Risk'!$O$5:$O$64,MATCH($A6,'Taxonomy and Risk'!$P$5:$P$64,0))</f>
        <v>Tier 1: Review first</v>
      </c>
      <c r="I6" s="10" t="str">
        <f aca="false">INDEX('Taxonomy and Risk'!$Q$5:$Q$64,MATCH($A6,'Taxonomy and Risk'!$P$5:$P$64,0))</f>
        <v>110.9; 110.10; 110.24</v>
      </c>
      <c r="J6" s="10" t="str">
        <f aca="false">INDEX('Taxonomy and Risk'!$J$5:$J$64,MATCH($A6,'Taxonomy and Risk'!$P$5:$P$64,0))</f>
        <v>S4, S5, S6, S8, S10</v>
      </c>
    </row>
    <row r="7" customFormat="false" ht="15" hidden="false" customHeight="false" outlineLevel="0" collapsed="false">
      <c r="A7" s="9" t="n">
        <v>3</v>
      </c>
      <c r="B7" s="9" t="str">
        <f aca="false">INDEX('Taxonomy and Risk'!$A$5:$A$64,MATCH($A7,'Taxonomy and Risk'!$P$5:$P$64,0))</f>
        <v>PV-03</v>
      </c>
      <c r="C7" s="10" t="str">
        <f aca="false">INDEX('Taxonomy and Risk'!$B$5:$B$64,MATCH($A7,'Taxonomy and Risk'!$P$5:$P$64,0))</f>
        <v>PV</v>
      </c>
      <c r="D7" s="10" t="str">
        <f aca="false">INDEX('Taxonomy and Risk'!$C$5:$C$64,MATCH($A7,'Taxonomy and Risk'!$P$5:$P$64,0))</f>
        <v>Rapid shutdown not specified or described only in vague notes</v>
      </c>
      <c r="E7" s="10" t="str">
        <f aca="false">INDEX('Taxonomy and Risk'!$E$5:$E$64,MATCH($A7,'Taxonomy and Risk'!$P$5:$P$64,0))</f>
        <v>Life safety</v>
      </c>
      <c r="F7" s="9" t="n">
        <f aca="false">INDEX('Taxonomy and Risk'!$M$5:$M$64,MATCH($A7,'Taxonomy and Risk'!$P$5:$P$64,0))</f>
        <v>4</v>
      </c>
      <c r="G7" s="9" t="n">
        <f aca="false">INDEX('Taxonomy and Risk'!$N$5:$N$64,MATCH($A7,'Taxonomy and Risk'!$P$5:$P$64,0))</f>
        <v>20</v>
      </c>
      <c r="H7" s="10" t="str">
        <f aca="false">INDEX('Taxonomy and Risk'!$O$5:$O$64,MATCH($A7,'Taxonomy and Risk'!$P$5:$P$64,0))</f>
        <v>Tier 1: Review first</v>
      </c>
      <c r="I7" s="10" t="str">
        <f aca="false">INDEX('Taxonomy and Risk'!$Q$5:$Q$64,MATCH($A7,'Taxonomy and Risk'!$P$5:$P$64,0))</f>
        <v>690.12; 690.56(C)</v>
      </c>
      <c r="J7" s="10" t="str">
        <f aca="false">INDEX('Taxonomy and Risk'!$J$5:$J$64,MATCH($A7,'Taxonomy and Risk'!$P$5:$P$64,0))</f>
        <v>S1, S11</v>
      </c>
    </row>
    <row r="8" customFormat="false" ht="23.85" hidden="false" customHeight="false" outlineLevel="0" collapsed="false">
      <c r="A8" s="9" t="n">
        <v>4</v>
      </c>
      <c r="B8" s="9" t="str">
        <f aca="false">INDEX('Taxonomy and Risk'!$A$5:$A$64,MATCH($A8,'Taxonomy and Risk'!$P$5:$P$64,0))</f>
        <v>PV-10</v>
      </c>
      <c r="C8" s="10" t="str">
        <f aca="false">INDEX('Taxonomy and Risk'!$B$5:$B$64,MATCH($A8,'Taxonomy and Risk'!$P$5:$P$64,0))</f>
        <v>PV</v>
      </c>
      <c r="D8" s="10" t="str">
        <f aca="false">INDEX('Taxonomy and Risk'!$C$5:$C$64,MATCH($A8,'Taxonomy and Risk'!$P$5:$P$64,0))</f>
        <v>PV grounding and bonding not detailed</v>
      </c>
      <c r="E8" s="10" t="str">
        <f aca="false">INDEX('Taxonomy and Risk'!$E$5:$E$64,MATCH($A8,'Taxonomy and Risk'!$P$5:$P$64,0))</f>
        <v>Life safety</v>
      </c>
      <c r="F8" s="9" t="n">
        <f aca="false">INDEX('Taxonomy and Risk'!$M$5:$M$64,MATCH($A8,'Taxonomy and Risk'!$P$5:$P$64,0))</f>
        <v>4</v>
      </c>
      <c r="G8" s="9" t="n">
        <f aca="false">INDEX('Taxonomy and Risk'!$N$5:$N$64,MATCH($A8,'Taxonomy and Risk'!$P$5:$P$64,0))</f>
        <v>20</v>
      </c>
      <c r="H8" s="10" t="str">
        <f aca="false">INDEX('Taxonomy and Risk'!$O$5:$O$64,MATCH($A8,'Taxonomy and Risk'!$P$5:$P$64,0))</f>
        <v>Tier 1: Review first</v>
      </c>
      <c r="I8" s="10" t="str">
        <f aca="false">INDEX('Taxonomy and Risk'!$Q$5:$Q$64,MATCH($A8,'Taxonomy and Risk'!$P$5:$P$64,0))</f>
        <v>690.41; 690.43; 690.47; 250.66</v>
      </c>
      <c r="J8" s="10" t="str">
        <f aca="false">INDEX('Taxonomy and Risk'!$J$5:$J$64,MATCH($A8,'Taxonomy and Risk'!$P$5:$P$64,0))</f>
        <v>S1, S10</v>
      </c>
    </row>
    <row r="9" customFormat="false" ht="23.85" hidden="false" customHeight="false" outlineLevel="0" collapsed="false">
      <c r="A9" s="9" t="n">
        <v>5</v>
      </c>
      <c r="B9" s="9" t="str">
        <f aca="false">INDEX('Taxonomy and Risk'!$A$5:$A$64,MATCH($A9,'Taxonomy and Risk'!$P$5:$P$64,0))</f>
        <v>EM-04</v>
      </c>
      <c r="C9" s="10" t="str">
        <f aca="false">INDEX('Taxonomy and Risk'!$B$5:$B$64,MATCH($A9,'Taxonomy and Risk'!$P$5:$P$64,0))</f>
        <v>Emergency and standby</v>
      </c>
      <c r="D9" s="10" t="str">
        <f aca="false">INDEX('Taxonomy and Risk'!$C$5:$C$64,MATCH($A9,'Taxonomy and Risk'!$P$5:$P$64,0))</f>
        <v>Selective coordination not demonstrated</v>
      </c>
      <c r="E9" s="10" t="str">
        <f aca="false">INDEX('Taxonomy and Risk'!$E$5:$E$64,MATCH($A9,'Taxonomy and Risk'!$P$5:$P$64,0))</f>
        <v>Life safety</v>
      </c>
      <c r="F9" s="9" t="n">
        <f aca="false">INDEX('Taxonomy and Risk'!$M$5:$M$64,MATCH($A9,'Taxonomy and Risk'!$P$5:$P$64,0))</f>
        <v>4</v>
      </c>
      <c r="G9" s="9" t="n">
        <f aca="false">INDEX('Taxonomy and Risk'!$N$5:$N$64,MATCH($A9,'Taxonomy and Risk'!$P$5:$P$64,0))</f>
        <v>20</v>
      </c>
      <c r="H9" s="10" t="str">
        <f aca="false">INDEX('Taxonomy and Risk'!$O$5:$O$64,MATCH($A9,'Taxonomy and Risk'!$P$5:$P$64,0))</f>
        <v>Tier 1: Review first</v>
      </c>
      <c r="I9" s="10" t="str">
        <f aca="false">INDEX('Taxonomy and Risk'!$Q$5:$Q$64,MATCH($A9,'Taxonomy and Risk'!$P$5:$P$64,0))</f>
        <v>700.32; 701.32; 620.62; 517.17</v>
      </c>
      <c r="J9" s="10" t="str">
        <f aca="false">INDEX('Taxonomy and Risk'!$J$5:$J$64,MATCH($A9,'Taxonomy and Risk'!$P$5:$P$64,0))</f>
        <v>S4, S8</v>
      </c>
    </row>
    <row r="10" customFormat="false" ht="23.85" hidden="false" customHeight="false" outlineLevel="0" collapsed="false">
      <c r="A10" s="9" t="n">
        <v>6</v>
      </c>
      <c r="B10" s="9" t="str">
        <f aca="false">INDEX('Taxonomy and Risk'!$A$5:$A$64,MATCH($A10,'Taxonomy and Risk'!$P$5:$P$64,0))</f>
        <v>EM-08</v>
      </c>
      <c r="C10" s="10" t="str">
        <f aca="false">INDEX('Taxonomy and Risk'!$B$5:$B$64,MATCH($A10,'Taxonomy and Risk'!$P$5:$P$64,0))</f>
        <v>Emergency and standby</v>
      </c>
      <c r="D10" s="10" t="str">
        <f aca="false">INDEX('Taxonomy and Risk'!$C$5:$C$64,MATCH($A10,'Taxonomy and Risk'!$P$5:$P$64,0))</f>
        <v>Means of egress illumination coverage or source not shown</v>
      </c>
      <c r="E10" s="10" t="str">
        <f aca="false">INDEX('Taxonomy and Risk'!$E$5:$E$64,MATCH($A10,'Taxonomy and Risk'!$P$5:$P$64,0))</f>
        <v>Life safety</v>
      </c>
      <c r="F10" s="9" t="n">
        <f aca="false">INDEX('Taxonomy and Risk'!$M$5:$M$64,MATCH($A10,'Taxonomy and Risk'!$P$5:$P$64,0))</f>
        <v>4</v>
      </c>
      <c r="G10" s="9" t="n">
        <f aca="false">INDEX('Taxonomy and Risk'!$N$5:$N$64,MATCH($A10,'Taxonomy and Risk'!$P$5:$P$64,0))</f>
        <v>20</v>
      </c>
      <c r="H10" s="10" t="str">
        <f aca="false">INDEX('Taxonomy and Risk'!$O$5:$O$64,MATCH($A10,'Taxonomy and Risk'!$P$5:$P$64,0))</f>
        <v>Tier 1: Review first</v>
      </c>
      <c r="I10" s="10" t="str">
        <f aca="false">INDEX('Taxonomy and Risk'!$Q$5:$Q$64,MATCH($A10,'Taxonomy and Risk'!$P$5:$P$64,0))</f>
        <v>700.16</v>
      </c>
      <c r="J10" s="10" t="str">
        <f aca="false">INDEX('Taxonomy and Risk'!$J$5:$J$64,MATCH($A10,'Taxonomy and Risk'!$P$5:$P$64,0))</f>
        <v>S4, S5, S6</v>
      </c>
    </row>
    <row r="11" customFormat="false" ht="23.85" hidden="false" customHeight="false" outlineLevel="0" collapsed="false">
      <c r="A11" s="9" t="n">
        <v>7</v>
      </c>
      <c r="B11" s="9" t="str">
        <f aca="false">INDEX('Taxonomy and Risk'!$A$5:$A$64,MATCH($A11,'Taxonomy and Risk'!$P$5:$P$64,0))</f>
        <v>SD-02</v>
      </c>
      <c r="C11" s="10" t="str">
        <f aca="false">INDEX('Taxonomy and Risk'!$B$5:$B$64,MATCH($A11,'Taxonomy and Risk'!$P$5:$P$64,0))</f>
        <v>Service and distribution</v>
      </c>
      <c r="D11" s="10" t="str">
        <f aca="false">INDEX('Taxonomy and Risk'!$C$5:$C$64,MATCH($A11,'Taxonomy and Risk'!$P$5:$P$64,0))</f>
        <v>Working space or dedicated equipment space insufficient</v>
      </c>
      <c r="E11" s="10" t="str">
        <f aca="false">INDEX('Taxonomy and Risk'!$E$5:$E$64,MATCH($A11,'Taxonomy and Risk'!$P$5:$P$64,0))</f>
        <v>Life safety</v>
      </c>
      <c r="F11" s="9" t="n">
        <f aca="false">INDEX('Taxonomy and Risk'!$M$5:$M$64,MATCH($A11,'Taxonomy and Risk'!$P$5:$P$64,0))</f>
        <v>4</v>
      </c>
      <c r="G11" s="9" t="n">
        <f aca="false">INDEX('Taxonomy and Risk'!$N$5:$N$64,MATCH($A11,'Taxonomy and Risk'!$P$5:$P$64,0))</f>
        <v>20</v>
      </c>
      <c r="H11" s="10" t="str">
        <f aca="false">INDEX('Taxonomy and Risk'!$O$5:$O$64,MATCH($A11,'Taxonomy and Risk'!$P$5:$P$64,0))</f>
        <v>Tier 1: Review first</v>
      </c>
      <c r="I11" s="10" t="str">
        <f aca="false">INDEX('Taxonomy and Risk'!$Q$5:$Q$64,MATCH($A11,'Taxonomy and Risk'!$P$5:$P$64,0))</f>
        <v>110.26</v>
      </c>
      <c r="J11" s="10" t="str">
        <f aca="false">INDEX('Taxonomy and Risk'!$J$5:$J$64,MATCH($A11,'Taxonomy and Risk'!$P$5:$P$64,0))</f>
        <v>S4, S5, S6</v>
      </c>
    </row>
    <row r="12" customFormat="false" ht="23.85" hidden="false" customHeight="false" outlineLevel="0" collapsed="false">
      <c r="A12" s="9" t="n">
        <v>8</v>
      </c>
      <c r="B12" s="9" t="str">
        <f aca="false">INDEX('Taxonomy and Risk'!$A$5:$A$64,MATCH($A12,'Taxonomy and Risk'!$P$5:$P$64,0))</f>
        <v>SD-05</v>
      </c>
      <c r="C12" s="10" t="str">
        <f aca="false">INDEX('Taxonomy and Risk'!$B$5:$B$64,MATCH($A12,'Taxonomy and Risk'!$P$5:$P$64,0))</f>
        <v>Service and distribution</v>
      </c>
      <c r="D12" s="10" t="str">
        <f aca="false">INDEX('Taxonomy and Risk'!$C$5:$C$64,MATCH($A12,'Taxonomy and Risk'!$P$5:$P$64,0))</f>
        <v>Grounding and bonding details or conductor sizes missing</v>
      </c>
      <c r="E12" s="10" t="str">
        <f aca="false">INDEX('Taxonomy and Risk'!$E$5:$E$64,MATCH($A12,'Taxonomy and Risk'!$P$5:$P$64,0))</f>
        <v>Life safety</v>
      </c>
      <c r="F12" s="9" t="n">
        <f aca="false">INDEX('Taxonomy and Risk'!$M$5:$M$64,MATCH($A12,'Taxonomy and Risk'!$P$5:$P$64,0))</f>
        <v>4</v>
      </c>
      <c r="G12" s="9" t="n">
        <f aca="false">INDEX('Taxonomy and Risk'!$N$5:$N$64,MATCH($A12,'Taxonomy and Risk'!$P$5:$P$64,0))</f>
        <v>20</v>
      </c>
      <c r="H12" s="10" t="str">
        <f aca="false">INDEX('Taxonomy and Risk'!$O$5:$O$64,MATCH($A12,'Taxonomy and Risk'!$P$5:$P$64,0))</f>
        <v>Tier 1: Review first</v>
      </c>
      <c r="I12" s="10" t="str">
        <f aca="false">INDEX('Taxonomy and Risk'!$Q$5:$Q$64,MATCH($A12,'Taxonomy and Risk'!$P$5:$P$64,0))</f>
        <v>250.50; 250.52; 250.66; 250.122; 250.30</v>
      </c>
      <c r="J12" s="10" t="str">
        <f aca="false">INDEX('Taxonomy and Risk'!$J$5:$J$64,MATCH($A12,'Taxonomy and Risk'!$P$5:$P$64,0))</f>
        <v>S4, S5, S6, S8, S10</v>
      </c>
    </row>
    <row r="13" customFormat="false" ht="23.85" hidden="false" customHeight="false" outlineLevel="0" collapsed="false">
      <c r="A13" s="9" t="n">
        <v>9</v>
      </c>
      <c r="B13" s="9" t="str">
        <f aca="false">INDEX('Taxonomy and Risk'!$A$5:$A$64,MATCH($A13,'Taxonomy and Risk'!$P$5:$P$64,0))</f>
        <v>PV-02</v>
      </c>
      <c r="C13" s="10" t="str">
        <f aca="false">INDEX('Taxonomy and Risk'!$B$5:$B$64,MATCH($A13,'Taxonomy and Risk'!$P$5:$P$64,0))</f>
        <v>PV</v>
      </c>
      <c r="D13" s="10" t="str">
        <f aca="false">INDEX('Taxonomy and Risk'!$C$5:$C$64,MATCH($A13,'Taxonomy and Risk'!$P$5:$P$64,0))</f>
        <v>PV circuit conductors or overcurrent devices not sized with required continuous-current factors</v>
      </c>
      <c r="E13" s="10" t="str">
        <f aca="false">INDEX('Taxonomy and Risk'!$E$5:$E$64,MATCH($A13,'Taxonomy and Risk'!$P$5:$P$64,0))</f>
        <v>Fire</v>
      </c>
      <c r="F13" s="9" t="n">
        <f aca="false">INDEX('Taxonomy and Risk'!$M$5:$M$64,MATCH($A13,'Taxonomy and Risk'!$P$5:$P$64,0))</f>
        <v>5</v>
      </c>
      <c r="G13" s="9" t="n">
        <f aca="false">INDEX('Taxonomy and Risk'!$N$5:$N$64,MATCH($A13,'Taxonomy and Risk'!$P$5:$P$64,0))</f>
        <v>20</v>
      </c>
      <c r="H13" s="10" t="str">
        <f aca="false">INDEX('Taxonomy and Risk'!$O$5:$O$64,MATCH($A13,'Taxonomy and Risk'!$P$5:$P$64,0))</f>
        <v>Tier 1: Review first</v>
      </c>
      <c r="I13" s="10" t="str">
        <f aca="false">INDEX('Taxonomy and Risk'!$Q$5:$Q$64,MATCH($A13,'Taxonomy and Risk'!$P$5:$P$64,0))</f>
        <v>690.8; 690.9</v>
      </c>
      <c r="J13" s="10" t="str">
        <f aca="false">INDEX('Taxonomy and Risk'!$J$5:$J$64,MATCH($A13,'Taxonomy and Risk'!$P$5:$P$64,0))</f>
        <v>S1, S10, S11</v>
      </c>
    </row>
    <row r="14" customFormat="false" ht="23.85" hidden="false" customHeight="false" outlineLevel="0" collapsed="false">
      <c r="A14" s="9" t="n">
        <v>10</v>
      </c>
      <c r="B14" s="9" t="str">
        <f aca="false">INDEX('Taxonomy and Risk'!$A$5:$A$64,MATCH($A14,'Taxonomy and Risk'!$P$5:$P$64,0))</f>
        <v>PV-05</v>
      </c>
      <c r="C14" s="10" t="str">
        <f aca="false">INDEX('Taxonomy and Risk'!$B$5:$B$64,MATCH($A14,'Taxonomy and Risk'!$P$5:$P$64,0))</f>
        <v>PV</v>
      </c>
      <c r="D14" s="10" t="str">
        <f aca="false">INDEX('Taxonomy and Risk'!$C$5:$C$64,MATCH($A14,'Taxonomy and Risk'!$P$5:$P$64,0))</f>
        <v>Point of interconnection unclear or load-side connection exceeds busbar limits</v>
      </c>
      <c r="E14" s="10" t="str">
        <f aca="false">INDEX('Taxonomy and Risk'!$E$5:$E$64,MATCH($A14,'Taxonomy and Risk'!$P$5:$P$64,0))</f>
        <v>Fire</v>
      </c>
      <c r="F14" s="9" t="n">
        <f aca="false">INDEX('Taxonomy and Risk'!$M$5:$M$64,MATCH($A14,'Taxonomy and Risk'!$P$5:$P$64,0))</f>
        <v>5</v>
      </c>
      <c r="G14" s="9" t="n">
        <f aca="false">INDEX('Taxonomy and Risk'!$N$5:$N$64,MATCH($A14,'Taxonomy and Risk'!$P$5:$P$64,0))</f>
        <v>20</v>
      </c>
      <c r="H14" s="10" t="str">
        <f aca="false">INDEX('Taxonomy and Risk'!$O$5:$O$64,MATCH($A14,'Taxonomy and Risk'!$P$5:$P$64,0))</f>
        <v>Tier 1: Review first</v>
      </c>
      <c r="I14" s="10" t="str">
        <f aca="false">INDEX('Taxonomy and Risk'!$Q$5:$Q$64,MATCH($A14,'Taxonomy and Risk'!$P$5:$P$64,0))</f>
        <v>705.12(B)(3)</v>
      </c>
      <c r="J14" s="10" t="str">
        <f aca="false">INDEX('Taxonomy and Risk'!$J$5:$J$64,MATCH($A14,'Taxonomy and Risk'!$P$5:$P$64,0))</f>
        <v>S1, S9</v>
      </c>
    </row>
    <row r="15" customFormat="false" ht="23.85" hidden="false" customHeight="false" outlineLevel="0" collapsed="false">
      <c r="A15" s="9" t="n">
        <v>11</v>
      </c>
      <c r="B15" s="9" t="str">
        <f aca="false">INDEX('Taxonomy and Risk'!$A$5:$A$64,MATCH($A15,'Taxonomy and Risk'!$P$5:$P$64,0))</f>
        <v>SD-03</v>
      </c>
      <c r="C15" s="10" t="str">
        <f aca="false">INDEX('Taxonomy and Risk'!$B$5:$B$64,MATCH($A15,'Taxonomy and Risk'!$P$5:$P$64,0))</f>
        <v>Service and distribution</v>
      </c>
      <c r="D15" s="10" t="str">
        <f aca="false">INDEX('Taxonomy and Risk'!$C$5:$C$64,MATCH($A15,'Taxonomy and Risk'!$P$5:$P$64,0))</f>
        <v>Panel schedules incomplete or panelboard rating inadequate</v>
      </c>
      <c r="E15" s="10" t="str">
        <f aca="false">INDEX('Taxonomy and Risk'!$E$5:$E$64,MATCH($A15,'Taxonomy and Risk'!$P$5:$P$64,0))</f>
        <v>Fire</v>
      </c>
      <c r="F15" s="9" t="n">
        <f aca="false">INDEX('Taxonomy and Risk'!$M$5:$M$64,MATCH($A15,'Taxonomy and Risk'!$P$5:$P$64,0))</f>
        <v>5</v>
      </c>
      <c r="G15" s="9" t="n">
        <f aca="false">INDEX('Taxonomy and Risk'!$N$5:$N$64,MATCH($A15,'Taxonomy and Risk'!$P$5:$P$64,0))</f>
        <v>20</v>
      </c>
      <c r="H15" s="10" t="str">
        <f aca="false">INDEX('Taxonomy and Risk'!$O$5:$O$64,MATCH($A15,'Taxonomy and Risk'!$P$5:$P$64,0))</f>
        <v>Tier 1: Review first</v>
      </c>
      <c r="I15" s="10" t="str">
        <f aca="false">INDEX('Taxonomy and Risk'!$Q$5:$Q$64,MATCH($A15,'Taxonomy and Risk'!$P$5:$P$64,0))</f>
        <v>408.36</v>
      </c>
      <c r="J15" s="10" t="str">
        <f aca="false">INDEX('Taxonomy and Risk'!$J$5:$J$64,MATCH($A15,'Taxonomy and Risk'!$P$5:$P$64,0))</f>
        <v>S4, S5, S6, S10</v>
      </c>
    </row>
    <row r="16" customFormat="false" ht="23.85" hidden="false" customHeight="false" outlineLevel="0" collapsed="false">
      <c r="A16" s="9" t="n">
        <v>12</v>
      </c>
      <c r="B16" s="9" t="str">
        <f aca="false">INDEX('Taxonomy and Risk'!$A$5:$A$64,MATCH($A16,'Taxonomy and Risk'!$P$5:$P$64,0))</f>
        <v>SD-04</v>
      </c>
      <c r="C16" s="10" t="str">
        <f aca="false">INDEX('Taxonomy and Risk'!$B$5:$B$64,MATCH($A16,'Taxonomy and Risk'!$P$5:$P$64,0))</f>
        <v>Service and distribution</v>
      </c>
      <c r="D16" s="10" t="str">
        <f aca="false">INDEX('Taxonomy and Risk'!$C$5:$C$64,MATCH($A16,'Taxonomy and Risk'!$P$5:$P$64,0))</f>
        <v>Conductor ampacity wrong after correction, adjustment, or terminal limits</v>
      </c>
      <c r="E16" s="10" t="str">
        <f aca="false">INDEX('Taxonomy and Risk'!$E$5:$E$64,MATCH($A16,'Taxonomy and Risk'!$P$5:$P$64,0))</f>
        <v>Fire</v>
      </c>
      <c r="F16" s="9" t="n">
        <f aca="false">INDEX('Taxonomy and Risk'!$M$5:$M$64,MATCH($A16,'Taxonomy and Risk'!$P$5:$P$64,0))</f>
        <v>5</v>
      </c>
      <c r="G16" s="9" t="n">
        <f aca="false">INDEX('Taxonomy and Risk'!$N$5:$N$64,MATCH($A16,'Taxonomy and Risk'!$P$5:$P$64,0))</f>
        <v>20</v>
      </c>
      <c r="H16" s="10" t="str">
        <f aca="false">INDEX('Taxonomy and Risk'!$O$5:$O$64,MATCH($A16,'Taxonomy and Risk'!$P$5:$P$64,0))</f>
        <v>Tier 1: Review first</v>
      </c>
      <c r="I16" s="10" t="str">
        <f aca="false">INDEX('Taxonomy and Risk'!$Q$5:$Q$64,MATCH($A16,'Taxonomy and Risk'!$P$5:$P$64,0))</f>
        <v>310.16; 240.4; 110.14(C)</v>
      </c>
      <c r="J16" s="10" t="str">
        <f aca="false">INDEX('Taxonomy and Risk'!$J$5:$J$64,MATCH($A16,'Taxonomy and Risk'!$P$5:$P$64,0))</f>
        <v>S4, S5, S10</v>
      </c>
    </row>
    <row r="17" customFormat="false" ht="23.85" hidden="false" customHeight="false" outlineLevel="0" collapsed="false">
      <c r="A17" s="9" t="n">
        <v>13</v>
      </c>
      <c r="B17" s="9" t="str">
        <f aca="false">INDEX('Taxonomy and Risk'!$A$5:$A$64,MATCH($A17,'Taxonomy and Risk'!$P$5:$P$64,0))</f>
        <v>LC-01</v>
      </c>
      <c r="C17" s="10" t="str">
        <f aca="false">INDEX('Taxonomy and Risk'!$B$5:$B$64,MATCH($A17,'Taxonomy and Risk'!$P$5:$P$64,0))</f>
        <v>Load calculations</v>
      </c>
      <c r="D17" s="10" t="str">
        <f aca="false">INDEX('Taxonomy and Risk'!$C$5:$C$64,MATCH($A17,'Taxonomy and Risk'!$P$5:$P$64,0))</f>
        <v>Service or feeder load calculation missing or demand factors not shown</v>
      </c>
      <c r="E17" s="10" t="str">
        <f aca="false">INDEX('Taxonomy and Risk'!$E$5:$E$64,MATCH($A17,'Taxonomy and Risk'!$P$5:$P$64,0))</f>
        <v>Fire</v>
      </c>
      <c r="F17" s="9" t="n">
        <f aca="false">INDEX('Taxonomy and Risk'!$M$5:$M$64,MATCH($A17,'Taxonomy and Risk'!$P$5:$P$64,0))</f>
        <v>5</v>
      </c>
      <c r="G17" s="9" t="n">
        <f aca="false">INDEX('Taxonomy and Risk'!$N$5:$N$64,MATCH($A17,'Taxonomy and Risk'!$P$5:$P$64,0))</f>
        <v>20</v>
      </c>
      <c r="H17" s="10" t="str">
        <f aca="false">INDEX('Taxonomy and Risk'!$O$5:$O$64,MATCH($A17,'Taxonomy and Risk'!$P$5:$P$64,0))</f>
        <v>Tier 1: Review first</v>
      </c>
      <c r="I17" s="10" t="str">
        <f aca="false">INDEX('Taxonomy and Risk'!$Q$5:$Q$64,MATCH($A17,'Taxonomy and Risk'!$P$5:$P$64,0))</f>
        <v>Article 220; Annex D</v>
      </c>
      <c r="J17" s="10" t="str">
        <f aca="false">INDEX('Taxonomy and Risk'!$J$5:$J$64,MATCH($A17,'Taxonomy and Risk'!$P$5:$P$64,0))</f>
        <v>S4, S5, S6, S10</v>
      </c>
    </row>
    <row r="18" customFormat="false" ht="15" hidden="false" customHeight="false" outlineLevel="0" collapsed="false">
      <c r="A18" s="9" t="n">
        <v>14</v>
      </c>
      <c r="B18" s="9" t="str">
        <f aca="false">INDEX('Taxonomy and Risk'!$A$5:$A$64,MATCH($A18,'Taxonomy and Risk'!$P$5:$P$64,0))</f>
        <v>FA-01</v>
      </c>
      <c r="C18" s="10" t="str">
        <f aca="false">INDEX('Taxonomy and Risk'!$B$5:$B$64,MATCH($A18,'Taxonomy and Risk'!$P$5:$P$64,0))</f>
        <v>Fire alarm</v>
      </c>
      <c r="D18" s="10" t="str">
        <f aca="false">INDEX('Taxonomy and Risk'!$C$5:$C$64,MATCH($A18,'Taxonomy and Risk'!$P$5:$P$64,0))</f>
        <v>Secondary power (battery) calculations missing or insufficient</v>
      </c>
      <c r="E18" s="10" t="str">
        <f aca="false">INDEX('Taxonomy and Risk'!$E$5:$E$64,MATCH($A18,'Taxonomy and Risk'!$P$5:$P$64,0))</f>
        <v>Life safety</v>
      </c>
      <c r="F18" s="9" t="n">
        <f aca="false">INDEX('Taxonomy and Risk'!$M$5:$M$64,MATCH($A18,'Taxonomy and Risk'!$P$5:$P$64,0))</f>
        <v>3</v>
      </c>
      <c r="G18" s="9" t="n">
        <f aca="false">INDEX('Taxonomy and Risk'!$N$5:$N$64,MATCH($A18,'Taxonomy and Risk'!$P$5:$P$64,0))</f>
        <v>15</v>
      </c>
      <c r="H18" s="10" t="str">
        <f aca="false">INDEX('Taxonomy and Risk'!$O$5:$O$64,MATCH($A18,'Taxonomy and Risk'!$P$5:$P$64,0))</f>
        <v>Tier 2: Standard</v>
      </c>
      <c r="I18" s="10" t="str">
        <f aca="false">INDEX('Taxonomy and Risk'!$Q$5:$Q$64,MATCH($A18,'Taxonomy and Risk'!$P$5:$P$64,0))</f>
        <v>None (NFPA 72 item)</v>
      </c>
      <c r="J18" s="10" t="str">
        <f aca="false">INDEX('Taxonomy and Risk'!$J$5:$J$64,MATCH($A18,'Taxonomy and Risk'!$P$5:$P$64,0))</f>
        <v>S3, S7</v>
      </c>
    </row>
    <row r="19" customFormat="false" ht="15" hidden="false" customHeight="false" outlineLevel="0" collapsed="false">
      <c r="A19" s="9" t="n">
        <v>15</v>
      </c>
      <c r="B19" s="9" t="str">
        <f aca="false">INDEX('Taxonomy and Risk'!$A$5:$A$64,MATCH($A19,'Taxonomy and Risk'!$P$5:$P$64,0))</f>
        <v>FA-02</v>
      </c>
      <c r="C19" s="10" t="str">
        <f aca="false">INDEX('Taxonomy and Risk'!$B$5:$B$64,MATCH($A19,'Taxonomy and Risk'!$P$5:$P$64,0))</f>
        <v>Fire alarm</v>
      </c>
      <c r="D19" s="10" t="str">
        <f aca="false">INDEX('Taxonomy and Risk'!$C$5:$C$64,MATCH($A19,'Taxonomy and Risk'!$P$5:$P$64,0))</f>
        <v>Notification appliance circuit voltage drop calculations missing</v>
      </c>
      <c r="E19" s="10" t="str">
        <f aca="false">INDEX('Taxonomy and Risk'!$E$5:$E$64,MATCH($A19,'Taxonomy and Risk'!$P$5:$P$64,0))</f>
        <v>Life safety</v>
      </c>
      <c r="F19" s="9" t="n">
        <f aca="false">INDEX('Taxonomy and Risk'!$M$5:$M$64,MATCH($A19,'Taxonomy and Risk'!$P$5:$P$64,0))</f>
        <v>3</v>
      </c>
      <c r="G19" s="9" t="n">
        <f aca="false">INDEX('Taxonomy and Risk'!$N$5:$N$64,MATCH($A19,'Taxonomy and Risk'!$P$5:$P$64,0))</f>
        <v>15</v>
      </c>
      <c r="H19" s="10" t="str">
        <f aca="false">INDEX('Taxonomy and Risk'!$O$5:$O$64,MATCH($A19,'Taxonomy and Risk'!$P$5:$P$64,0))</f>
        <v>Tier 2: Standard</v>
      </c>
      <c r="I19" s="10" t="str">
        <f aca="false">INDEX('Taxonomy and Risk'!$Q$5:$Q$64,MATCH($A19,'Taxonomy and Risk'!$P$5:$P$64,0))</f>
        <v>None (NFPA 72 item)</v>
      </c>
      <c r="J19" s="10" t="str">
        <f aca="false">INDEX('Taxonomy and Risk'!$J$5:$J$64,MATCH($A19,'Taxonomy and Risk'!$P$5:$P$64,0))</f>
        <v>S3, S7</v>
      </c>
    </row>
    <row r="20" customFormat="false" ht="23.85" hidden="false" customHeight="false" outlineLevel="0" collapsed="false">
      <c r="A20" s="9" t="n">
        <v>16</v>
      </c>
      <c r="B20" s="9" t="str">
        <f aca="false">INDEX('Taxonomy and Risk'!$A$5:$A$64,MATCH($A20,'Taxonomy and Risk'!$P$5:$P$64,0))</f>
        <v>SD-06</v>
      </c>
      <c r="C20" s="10" t="str">
        <f aca="false">INDEX('Taxonomy and Risk'!$B$5:$B$64,MATCH($A20,'Taxonomy and Risk'!$P$5:$P$64,0))</f>
        <v>Service and distribution</v>
      </c>
      <c r="D20" s="10" t="str">
        <f aca="false">INDEX('Taxonomy and Risk'!$C$5:$C$64,MATCH($A20,'Taxonomy and Risk'!$P$5:$P$64,0))</f>
        <v>GFCI or AFCI protection not shown where required</v>
      </c>
      <c r="E20" s="10" t="str">
        <f aca="false">INDEX('Taxonomy and Risk'!$E$5:$E$64,MATCH($A20,'Taxonomy and Risk'!$P$5:$P$64,0))</f>
        <v>Life safety</v>
      </c>
      <c r="F20" s="9" t="n">
        <f aca="false">INDEX('Taxonomy and Risk'!$M$5:$M$64,MATCH($A20,'Taxonomy and Risk'!$P$5:$P$64,0))</f>
        <v>3</v>
      </c>
      <c r="G20" s="9" t="n">
        <f aca="false">INDEX('Taxonomy and Risk'!$N$5:$N$64,MATCH($A20,'Taxonomy and Risk'!$P$5:$P$64,0))</f>
        <v>15</v>
      </c>
      <c r="H20" s="10" t="str">
        <f aca="false">INDEX('Taxonomy and Risk'!$O$5:$O$64,MATCH($A20,'Taxonomy and Risk'!$P$5:$P$64,0))</f>
        <v>Tier 2: Standard</v>
      </c>
      <c r="I20" s="10" t="str">
        <f aca="false">INDEX('Taxonomy and Risk'!$Q$5:$Q$64,MATCH($A20,'Taxonomy and Risk'!$P$5:$P$64,0))</f>
        <v>210.8; 210.12</v>
      </c>
      <c r="J20" s="10" t="str">
        <f aca="false">INDEX('Taxonomy and Risk'!$J$5:$J$64,MATCH($A20,'Taxonomy and Risk'!$P$5:$P$64,0))</f>
        <v>S5, S6</v>
      </c>
    </row>
    <row r="21" customFormat="false" ht="15" hidden="false" customHeight="false" outlineLevel="0" collapsed="false">
      <c r="A21" s="9" t="n">
        <v>17</v>
      </c>
      <c r="B21" s="9" t="str">
        <f aca="false">INDEX('Taxonomy and Risk'!$A$5:$A$64,MATCH($A21,'Taxonomy and Risk'!$P$5:$P$64,0))</f>
        <v>PV-06</v>
      </c>
      <c r="C21" s="10" t="str">
        <f aca="false">INDEX('Taxonomy and Risk'!$B$5:$B$64,MATCH($A21,'Taxonomy and Risk'!$P$5:$P$64,0))</f>
        <v>PV</v>
      </c>
      <c r="D21" s="10" t="str">
        <f aca="false">INDEX('Taxonomy and Risk'!$C$5:$C$64,MATCH($A21,'Taxonomy and Risk'!$P$5:$P$64,0))</f>
        <v>Supply-side connection details incomplete</v>
      </c>
      <c r="E21" s="10" t="str">
        <f aca="false">INDEX('Taxonomy and Risk'!$E$5:$E$64,MATCH($A21,'Taxonomy and Risk'!$P$5:$P$64,0))</f>
        <v>Fire</v>
      </c>
      <c r="F21" s="9" t="n">
        <f aca="false">INDEX('Taxonomy and Risk'!$M$5:$M$64,MATCH($A21,'Taxonomy and Risk'!$P$5:$P$64,0))</f>
        <v>3</v>
      </c>
      <c r="G21" s="9" t="n">
        <f aca="false">INDEX('Taxonomy and Risk'!$N$5:$N$64,MATCH($A21,'Taxonomy and Risk'!$P$5:$P$64,0))</f>
        <v>12</v>
      </c>
      <c r="H21" s="10" t="str">
        <f aca="false">INDEX('Taxonomy and Risk'!$O$5:$O$64,MATCH($A21,'Taxonomy and Risk'!$P$5:$P$64,0))</f>
        <v>Tier 2: Standard</v>
      </c>
      <c r="I21" s="10" t="str">
        <f aca="false">INDEX('Taxonomy and Risk'!$Q$5:$Q$64,MATCH($A21,'Taxonomy and Risk'!$P$5:$P$64,0))</f>
        <v>705.11</v>
      </c>
      <c r="J21" s="10" t="str">
        <f aca="false">INDEX('Taxonomy and Risk'!$J$5:$J$64,MATCH($A21,'Taxonomy and Risk'!$P$5:$P$64,0))</f>
        <v>S9</v>
      </c>
    </row>
    <row r="22" customFormat="false" ht="15" hidden="false" customHeight="false" outlineLevel="0" collapsed="false">
      <c r="A22" s="9" t="n">
        <v>18</v>
      </c>
      <c r="B22" s="9" t="str">
        <f aca="false">INDEX('Taxonomy and Risk'!$A$5:$A$64,MATCH($A22,'Taxonomy and Risk'!$P$5:$P$64,0))</f>
        <v>PV-07</v>
      </c>
      <c r="C22" s="10" t="str">
        <f aca="false">INDEX('Taxonomy and Risk'!$B$5:$B$64,MATCH($A22,'Taxonomy and Risk'!$P$5:$P$64,0))</f>
        <v>PV</v>
      </c>
      <c r="D22" s="10" t="str">
        <f aca="false">INDEX('Taxonomy and Risk'!$C$5:$C$64,MATCH($A22,'Taxonomy and Risk'!$P$5:$P$64,0))</f>
        <v>PV disconnects not located, grouped, or identified as required</v>
      </c>
      <c r="E22" s="10" t="str">
        <f aca="false">INDEX('Taxonomy and Risk'!$E$5:$E$64,MATCH($A22,'Taxonomy and Risk'!$P$5:$P$64,0))</f>
        <v>Life safety</v>
      </c>
      <c r="F22" s="9" t="n">
        <f aca="false">INDEX('Taxonomy and Risk'!$M$5:$M$64,MATCH($A22,'Taxonomy and Risk'!$P$5:$P$64,0))</f>
        <v>2</v>
      </c>
      <c r="G22" s="9" t="n">
        <f aca="false">INDEX('Taxonomy and Risk'!$N$5:$N$64,MATCH($A22,'Taxonomy and Risk'!$P$5:$P$64,0))</f>
        <v>10</v>
      </c>
      <c r="H22" s="10" t="str">
        <f aca="false">INDEX('Taxonomy and Risk'!$O$5:$O$64,MATCH($A22,'Taxonomy and Risk'!$P$5:$P$64,0))</f>
        <v>Tier 2: Standard</v>
      </c>
      <c r="I22" s="10" t="str">
        <f aca="false">INDEX('Taxonomy and Risk'!$Q$5:$Q$64,MATCH($A22,'Taxonomy and Risk'!$P$5:$P$64,0))</f>
        <v>690.13; 690.15; 705.20</v>
      </c>
      <c r="J22" s="10" t="str">
        <f aca="false">INDEX('Taxonomy and Risk'!$J$5:$J$64,MATCH($A22,'Taxonomy and Risk'!$P$5:$P$64,0))</f>
        <v>S1</v>
      </c>
    </row>
    <row r="23" customFormat="false" ht="15" hidden="false" customHeight="false" outlineLevel="0" collapsed="false">
      <c r="A23" s="9" t="n">
        <v>19</v>
      </c>
      <c r="B23" s="9" t="str">
        <f aca="false">INDEX('Taxonomy and Risk'!$A$5:$A$64,MATCH($A23,'Taxonomy and Risk'!$P$5:$P$64,0))</f>
        <v>ES-01</v>
      </c>
      <c r="C23" s="10" t="str">
        <f aca="false">INDEX('Taxonomy and Risk'!$B$5:$B$64,MATCH($A23,'Taxonomy and Risk'!$P$5:$P$64,0))</f>
        <v>Energy storage</v>
      </c>
      <c r="D23" s="10" t="str">
        <f aca="false">INDEX('Taxonomy and Risk'!$C$5:$C$64,MATCH($A23,'Taxonomy and Risk'!$P$5:$P$64,0))</f>
        <v>ESS disconnecting means missing or not located as required</v>
      </c>
      <c r="E23" s="10" t="str">
        <f aca="false">INDEX('Taxonomy and Risk'!$E$5:$E$64,MATCH($A23,'Taxonomy and Risk'!$P$5:$P$64,0))</f>
        <v>Life safety</v>
      </c>
      <c r="F23" s="9" t="n">
        <f aca="false">INDEX('Taxonomy and Risk'!$M$5:$M$64,MATCH($A23,'Taxonomy and Risk'!$P$5:$P$64,0))</f>
        <v>2</v>
      </c>
      <c r="G23" s="9" t="n">
        <f aca="false">INDEX('Taxonomy and Risk'!$N$5:$N$64,MATCH($A23,'Taxonomy and Risk'!$P$5:$P$64,0))</f>
        <v>10</v>
      </c>
      <c r="H23" s="10" t="str">
        <f aca="false">INDEX('Taxonomy and Risk'!$O$5:$O$64,MATCH($A23,'Taxonomy and Risk'!$P$5:$P$64,0))</f>
        <v>Tier 2: Standard</v>
      </c>
      <c r="I23" s="10" t="str">
        <f aca="false">INDEX('Taxonomy and Risk'!$Q$5:$Q$64,MATCH($A23,'Taxonomy and Risk'!$P$5:$P$64,0))</f>
        <v>706.15</v>
      </c>
      <c r="J23" s="10" t="str">
        <f aca="false">INDEX('Taxonomy and Risk'!$J$5:$J$64,MATCH($A23,'Taxonomy and Risk'!$P$5:$P$64,0))</f>
        <v>S1</v>
      </c>
    </row>
    <row r="24" customFormat="false" ht="23.85" hidden="false" customHeight="false" outlineLevel="0" collapsed="false">
      <c r="A24" s="9" t="n">
        <v>20</v>
      </c>
      <c r="B24" s="9" t="str">
        <f aca="false">INDEX('Taxonomy and Risk'!$A$5:$A$64,MATCH($A24,'Taxonomy and Risk'!$P$5:$P$64,0))</f>
        <v>EM-02</v>
      </c>
      <c r="C24" s="10" t="str">
        <f aca="false">INDEX('Taxonomy and Risk'!$B$5:$B$64,MATCH($A24,'Taxonomy and Risk'!$P$5:$P$64,0))</f>
        <v>Emergency and standby</v>
      </c>
      <c r="D24" s="10" t="str">
        <f aca="false">INDEX('Taxonomy and Risk'!$C$5:$C$64,MATCH($A24,'Taxonomy and Risk'!$P$5:$P$64,0))</f>
        <v>Emergency wiring not kept independent of other wiring</v>
      </c>
      <c r="E24" s="10" t="str">
        <f aca="false">INDEX('Taxonomy and Risk'!$E$5:$E$64,MATCH($A24,'Taxonomy and Risk'!$P$5:$P$64,0))</f>
        <v>Life safety</v>
      </c>
      <c r="F24" s="9" t="n">
        <f aca="false">INDEX('Taxonomy and Risk'!$M$5:$M$64,MATCH($A24,'Taxonomy and Risk'!$P$5:$P$64,0))</f>
        <v>2</v>
      </c>
      <c r="G24" s="9" t="n">
        <f aca="false">INDEX('Taxonomy and Risk'!$N$5:$N$64,MATCH($A24,'Taxonomy and Risk'!$P$5:$P$64,0))</f>
        <v>10</v>
      </c>
      <c r="H24" s="10" t="str">
        <f aca="false">INDEX('Taxonomy and Risk'!$O$5:$O$64,MATCH($A24,'Taxonomy and Risk'!$P$5:$P$64,0))</f>
        <v>Tier 2: Standard</v>
      </c>
      <c r="I24" s="10" t="str">
        <f aca="false">INDEX('Taxonomy and Risk'!$Q$5:$Q$64,MATCH($A24,'Taxonomy and Risk'!$P$5:$P$64,0))</f>
        <v>700.10(B)</v>
      </c>
      <c r="J24" s="10" t="str">
        <f aca="false">INDEX('Taxonomy and Risk'!$J$5:$J$64,MATCH($A24,'Taxonomy and Risk'!$P$5:$P$64,0))</f>
        <v>S4</v>
      </c>
    </row>
    <row r="25" customFormat="false" ht="23.85" hidden="false" customHeight="false" outlineLevel="0" collapsed="false">
      <c r="A25" s="9" t="n">
        <v>21</v>
      </c>
      <c r="B25" s="9" t="str">
        <f aca="false">INDEX('Taxonomy and Risk'!$A$5:$A$64,MATCH($A25,'Taxonomy and Risk'!$P$5:$P$64,0))</f>
        <v>EM-05</v>
      </c>
      <c r="C25" s="10" t="str">
        <f aca="false">INDEX('Taxonomy and Risk'!$B$5:$B$64,MATCH($A25,'Taxonomy and Risk'!$P$5:$P$64,0))</f>
        <v>Emergency and standby</v>
      </c>
      <c r="D25" s="10" t="str">
        <f aca="false">INDEX('Taxonomy and Risk'!$C$5:$C$64,MATCH($A25,'Taxonomy and Risk'!$P$5:$P$64,0))</f>
        <v>Emergency source capacity not justified for connected loads</v>
      </c>
      <c r="E25" s="10" t="str">
        <f aca="false">INDEX('Taxonomy and Risk'!$E$5:$E$64,MATCH($A25,'Taxonomy and Risk'!$P$5:$P$64,0))</f>
        <v>Life safety</v>
      </c>
      <c r="F25" s="9" t="n">
        <f aca="false">INDEX('Taxonomy and Risk'!$M$5:$M$64,MATCH($A25,'Taxonomy and Risk'!$P$5:$P$64,0))</f>
        <v>2</v>
      </c>
      <c r="G25" s="9" t="n">
        <f aca="false">INDEX('Taxonomy and Risk'!$N$5:$N$64,MATCH($A25,'Taxonomy and Risk'!$P$5:$P$64,0))</f>
        <v>10</v>
      </c>
      <c r="H25" s="10" t="str">
        <f aca="false">INDEX('Taxonomy and Risk'!$O$5:$O$64,MATCH($A25,'Taxonomy and Risk'!$P$5:$P$64,0))</f>
        <v>Tier 2: Standard</v>
      </c>
      <c r="I25" s="10" t="str">
        <f aca="false">INDEX('Taxonomy and Risk'!$Q$5:$Q$64,MATCH($A25,'Taxonomy and Risk'!$P$5:$P$64,0))</f>
        <v>700.4; 701.4</v>
      </c>
      <c r="J25" s="10" t="str">
        <f aca="false">INDEX('Taxonomy and Risk'!$J$5:$J$64,MATCH($A25,'Taxonomy and Risk'!$P$5:$P$64,0))</f>
        <v>S5</v>
      </c>
    </row>
    <row r="26" customFormat="false" ht="23.85" hidden="false" customHeight="false" outlineLevel="0" collapsed="false">
      <c r="A26" s="9" t="n">
        <v>22</v>
      </c>
      <c r="B26" s="9" t="str">
        <f aca="false">INDEX('Taxonomy and Risk'!$A$5:$A$64,MATCH($A26,'Taxonomy and Risk'!$P$5:$P$64,0))</f>
        <v>EM-07</v>
      </c>
      <c r="C26" s="10" t="str">
        <f aca="false">INDEX('Taxonomy and Risk'!$B$5:$B$64,MATCH($A26,'Taxonomy and Risk'!$P$5:$P$64,0))</f>
        <v>Emergency and standby</v>
      </c>
      <c r="D26" s="10" t="str">
        <f aca="false">INDEX('Taxonomy and Risk'!$C$5:$C$64,MATCH($A26,'Taxonomy and Risk'!$P$5:$P$64,0))</f>
        <v>Transfer equipment or generator disconnecting means not shown</v>
      </c>
      <c r="E26" s="10" t="str">
        <f aca="false">INDEX('Taxonomy and Risk'!$E$5:$E$64,MATCH($A26,'Taxonomy and Risk'!$P$5:$P$64,0))</f>
        <v>Life safety</v>
      </c>
      <c r="F26" s="9" t="n">
        <f aca="false">INDEX('Taxonomy and Risk'!$M$5:$M$64,MATCH($A26,'Taxonomy and Risk'!$P$5:$P$64,0))</f>
        <v>2</v>
      </c>
      <c r="G26" s="9" t="n">
        <f aca="false">INDEX('Taxonomy and Risk'!$N$5:$N$64,MATCH($A26,'Taxonomy and Risk'!$P$5:$P$64,0))</f>
        <v>10</v>
      </c>
      <c r="H26" s="10" t="str">
        <f aca="false">INDEX('Taxonomy and Risk'!$O$5:$O$64,MATCH($A26,'Taxonomy and Risk'!$P$5:$P$64,0))</f>
        <v>Tier 2: Standard</v>
      </c>
      <c r="I26" s="10" t="str">
        <f aca="false">INDEX('Taxonomy and Risk'!$Q$5:$Q$64,MATCH($A26,'Taxonomy and Risk'!$P$5:$P$64,0))</f>
        <v>700.5; 701.5; 702.5; 445.18</v>
      </c>
      <c r="J26" s="10" t="str">
        <f aca="false">INDEX('Taxonomy and Risk'!$J$5:$J$64,MATCH($A26,'Taxonomy and Risk'!$P$5:$P$64,0))</f>
        <v>S4</v>
      </c>
    </row>
    <row r="27" customFormat="false" ht="15" hidden="false" customHeight="false" outlineLevel="0" collapsed="false">
      <c r="A27" s="9" t="n">
        <v>23</v>
      </c>
      <c r="B27" s="9" t="str">
        <f aca="false">INDEX('Taxonomy and Risk'!$A$5:$A$64,MATCH($A27,'Taxonomy and Risk'!$P$5:$P$64,0))</f>
        <v>FA-03</v>
      </c>
      <c r="C27" s="10" t="str">
        <f aca="false">INDEX('Taxonomy and Risk'!$B$5:$B$64,MATCH($A27,'Taxonomy and Risk'!$P$5:$P$64,0))</f>
        <v>Fire alarm</v>
      </c>
      <c r="D27" s="10" t="str">
        <f aca="false">INDEX('Taxonomy and Risk'!$C$5:$C$64,MATCH($A27,'Taxonomy and Risk'!$P$5:$P$64,0))</f>
        <v>Fire alarm branch circuit not dedicated, identified, or secured</v>
      </c>
      <c r="E27" s="10" t="str">
        <f aca="false">INDEX('Taxonomy and Risk'!$E$5:$E$64,MATCH($A27,'Taxonomy and Risk'!$P$5:$P$64,0))</f>
        <v>Life safety</v>
      </c>
      <c r="F27" s="9" t="n">
        <f aca="false">INDEX('Taxonomy and Risk'!$M$5:$M$64,MATCH($A27,'Taxonomy and Risk'!$P$5:$P$64,0))</f>
        <v>2</v>
      </c>
      <c r="G27" s="9" t="n">
        <f aca="false">INDEX('Taxonomy and Risk'!$N$5:$N$64,MATCH($A27,'Taxonomy and Risk'!$P$5:$P$64,0))</f>
        <v>10</v>
      </c>
      <c r="H27" s="10" t="str">
        <f aca="false">INDEX('Taxonomy and Risk'!$O$5:$O$64,MATCH($A27,'Taxonomy and Risk'!$P$5:$P$64,0))</f>
        <v>Tier 2: Standard</v>
      </c>
      <c r="I27" s="10" t="str">
        <f aca="false">INDEX('Taxonomy and Risk'!$Q$5:$Q$64,MATCH($A27,'Taxonomy and Risk'!$P$5:$P$64,0))</f>
        <v>760.41; 760.121</v>
      </c>
      <c r="J27" s="10" t="str">
        <f aca="false">INDEX('Taxonomy and Risk'!$J$5:$J$64,MATCH($A27,'Taxonomy and Risk'!$P$5:$P$64,0))</f>
        <v>S3</v>
      </c>
    </row>
    <row r="28" customFormat="false" ht="23.85" hidden="false" customHeight="false" outlineLevel="0" collapsed="false">
      <c r="A28" s="9" t="n">
        <v>24</v>
      </c>
      <c r="B28" s="9" t="str">
        <f aca="false">INDEX('Taxonomy and Risk'!$A$5:$A$64,MATCH($A28,'Taxonomy and Risk'!$P$5:$P$64,0))</f>
        <v>FA-06</v>
      </c>
      <c r="C28" s="10" t="str">
        <f aca="false">INDEX('Taxonomy and Risk'!$B$5:$B$64,MATCH($A28,'Taxonomy and Risk'!$P$5:$P$64,0))</f>
        <v>Fire alarm</v>
      </c>
      <c r="D28" s="10" t="str">
        <f aca="false">INDEX('Taxonomy and Risk'!$C$5:$C$64,MATCH($A28,'Taxonomy and Risk'!$P$5:$P$64,0))</f>
        <v>Pathway class or survivability not specified</v>
      </c>
      <c r="E28" s="10" t="str">
        <f aca="false">INDEX('Taxonomy and Risk'!$E$5:$E$64,MATCH($A28,'Taxonomy and Risk'!$P$5:$P$64,0))</f>
        <v>Life safety</v>
      </c>
      <c r="F28" s="9" t="n">
        <f aca="false">INDEX('Taxonomy and Risk'!$M$5:$M$64,MATCH($A28,'Taxonomy and Risk'!$P$5:$P$64,0))</f>
        <v>2</v>
      </c>
      <c r="G28" s="9" t="n">
        <f aca="false">INDEX('Taxonomy and Risk'!$N$5:$N$64,MATCH($A28,'Taxonomy and Risk'!$P$5:$P$64,0))</f>
        <v>10</v>
      </c>
      <c r="H28" s="10" t="str">
        <f aca="false">INDEX('Taxonomy and Risk'!$O$5:$O$64,MATCH($A28,'Taxonomy and Risk'!$P$5:$P$64,0))</f>
        <v>Tier 2: Standard</v>
      </c>
      <c r="I28" s="10" t="str">
        <f aca="false">INDEX('Taxonomy and Risk'!$Q$5:$Q$64,MATCH($A28,'Taxonomy and Risk'!$P$5:$P$64,0))</f>
        <v>728 (where fire-resistive cable used)</v>
      </c>
      <c r="J28" s="10" t="str">
        <f aca="false">INDEX('Taxonomy and Risk'!$J$5:$J$64,MATCH($A28,'Taxonomy and Risk'!$P$5:$P$64,0))</f>
        <v>S3</v>
      </c>
    </row>
    <row r="29" customFormat="false" ht="23.85" hidden="false" customHeight="false" outlineLevel="0" collapsed="false">
      <c r="A29" s="9" t="n">
        <v>25</v>
      </c>
      <c r="B29" s="9" t="str">
        <f aca="false">INDEX('Taxonomy and Risk'!$A$5:$A$64,MATCH($A29,'Taxonomy and Risk'!$P$5:$P$64,0))</f>
        <v>SD-08</v>
      </c>
      <c r="C29" s="10" t="str">
        <f aca="false">INDEX('Taxonomy and Risk'!$B$5:$B$64,MATCH($A29,'Taxonomy and Risk'!$P$5:$P$64,0))</f>
        <v>Service and distribution</v>
      </c>
      <c r="D29" s="10" t="str">
        <f aca="false">INDEX('Taxonomy and Risk'!$C$5:$C$64,MATCH($A29,'Taxonomy and Risk'!$P$5:$P$64,0))</f>
        <v>Multiple services or building disconnects not permitted or not identified</v>
      </c>
      <c r="E29" s="10" t="str">
        <f aca="false">INDEX('Taxonomy and Risk'!$E$5:$E$64,MATCH($A29,'Taxonomy and Risk'!$P$5:$P$64,0))</f>
        <v>Life safety</v>
      </c>
      <c r="F29" s="9" t="n">
        <f aca="false">INDEX('Taxonomy and Risk'!$M$5:$M$64,MATCH($A29,'Taxonomy and Risk'!$P$5:$P$64,0))</f>
        <v>2</v>
      </c>
      <c r="G29" s="9" t="n">
        <f aca="false">INDEX('Taxonomy and Risk'!$N$5:$N$64,MATCH($A29,'Taxonomy and Risk'!$P$5:$P$64,0))</f>
        <v>10</v>
      </c>
      <c r="H29" s="10" t="str">
        <f aca="false">INDEX('Taxonomy and Risk'!$O$5:$O$64,MATCH($A29,'Taxonomy and Risk'!$P$5:$P$64,0))</f>
        <v>Tier 2: Standard</v>
      </c>
      <c r="I29" s="10" t="str">
        <f aca="false">INDEX('Taxonomy and Risk'!$Q$5:$Q$64,MATCH($A29,'Taxonomy and Risk'!$P$5:$P$64,0))</f>
        <v>230.2; 230.70; 230.71; 225.31</v>
      </c>
      <c r="J29" s="10" t="str">
        <f aca="false">INDEX('Taxonomy and Risk'!$J$5:$J$64,MATCH($A29,'Taxonomy and Risk'!$P$5:$P$64,0))</f>
        <v>S5</v>
      </c>
    </row>
    <row r="30" customFormat="false" ht="23.85" hidden="false" customHeight="false" outlineLevel="0" collapsed="false">
      <c r="A30" s="9" t="n">
        <v>26</v>
      </c>
      <c r="B30" s="9" t="str">
        <f aca="false">INDEX('Taxonomy and Risk'!$A$5:$A$64,MATCH($A30,'Taxonomy and Risk'!$P$5:$P$64,0))</f>
        <v>PV-01</v>
      </c>
      <c r="C30" s="10" t="str">
        <f aca="false">INDEX('Taxonomy and Risk'!$B$5:$B$64,MATCH($A30,'Taxonomy and Risk'!$P$5:$P$64,0))</f>
        <v>PV</v>
      </c>
      <c r="D30" s="10" t="str">
        <f aca="false">INDEX('Taxonomy and Risk'!$C$5:$C$64,MATCH($A30,'Taxonomy and Risk'!$P$5:$P$64,0))</f>
        <v>Maximum PV DC circuit voltage not calculated with low-temperature correction</v>
      </c>
      <c r="E30" s="10" t="str">
        <f aca="false">INDEX('Taxonomy and Risk'!$E$5:$E$64,MATCH($A30,'Taxonomy and Risk'!$P$5:$P$64,0))</f>
        <v>Fire</v>
      </c>
      <c r="F30" s="9" t="n">
        <f aca="false">INDEX('Taxonomy and Risk'!$M$5:$M$64,MATCH($A30,'Taxonomy and Risk'!$P$5:$P$64,0))</f>
        <v>2</v>
      </c>
      <c r="G30" s="9" t="n">
        <f aca="false">INDEX('Taxonomy and Risk'!$N$5:$N$64,MATCH($A30,'Taxonomy and Risk'!$P$5:$P$64,0))</f>
        <v>8</v>
      </c>
      <c r="H30" s="10" t="str">
        <f aca="false">INDEX('Taxonomy and Risk'!$O$5:$O$64,MATCH($A30,'Taxonomy and Risk'!$P$5:$P$64,0))</f>
        <v>Tier 2: Standard</v>
      </c>
      <c r="I30" s="10" t="str">
        <f aca="false">INDEX('Taxonomy and Risk'!$Q$5:$Q$64,MATCH($A30,'Taxonomy and Risk'!$P$5:$P$64,0))</f>
        <v>690.7</v>
      </c>
      <c r="J30" s="10" t="str">
        <f aca="false">INDEX('Taxonomy and Risk'!$J$5:$J$64,MATCH($A30,'Taxonomy and Risk'!$P$5:$P$64,0))</f>
        <v>S1</v>
      </c>
    </row>
    <row r="31" customFormat="false" ht="15" hidden="false" customHeight="false" outlineLevel="0" collapsed="false">
      <c r="A31" s="9" t="n">
        <v>27</v>
      </c>
      <c r="B31" s="9" t="str">
        <f aca="false">INDEX('Taxonomy and Risk'!$A$5:$A$64,MATCH($A31,'Taxonomy and Risk'!$P$5:$P$64,0))</f>
        <v>PV-09</v>
      </c>
      <c r="C31" s="10" t="str">
        <f aca="false">INDEX('Taxonomy and Risk'!$B$5:$B$64,MATCH($A31,'Taxonomy and Risk'!$P$5:$P$64,0))</f>
        <v>PV</v>
      </c>
      <c r="D31" s="10" t="str">
        <f aca="false">INDEX('Taxonomy and Risk'!$C$5:$C$64,MATCH($A31,'Taxonomy and Risk'!$P$5:$P$64,0))</f>
        <v>DC arc-fault circuit protection not specified</v>
      </c>
      <c r="E31" s="10" t="str">
        <f aca="false">INDEX('Taxonomy and Risk'!$E$5:$E$64,MATCH($A31,'Taxonomy and Risk'!$P$5:$P$64,0))</f>
        <v>Fire</v>
      </c>
      <c r="F31" s="9" t="n">
        <f aca="false">INDEX('Taxonomy and Risk'!$M$5:$M$64,MATCH($A31,'Taxonomy and Risk'!$P$5:$P$64,0))</f>
        <v>2</v>
      </c>
      <c r="G31" s="9" t="n">
        <f aca="false">INDEX('Taxonomy and Risk'!$N$5:$N$64,MATCH($A31,'Taxonomy and Risk'!$P$5:$P$64,0))</f>
        <v>8</v>
      </c>
      <c r="H31" s="10" t="str">
        <f aca="false">INDEX('Taxonomy and Risk'!$O$5:$O$64,MATCH($A31,'Taxonomy and Risk'!$P$5:$P$64,0))</f>
        <v>Tier 2: Standard</v>
      </c>
      <c r="I31" s="10" t="str">
        <f aca="false">INDEX('Taxonomy and Risk'!$Q$5:$Q$64,MATCH($A31,'Taxonomy and Risk'!$P$5:$P$64,0))</f>
        <v>690.11</v>
      </c>
      <c r="J31" s="10" t="str">
        <f aca="false">INDEX('Taxonomy and Risk'!$J$5:$J$64,MATCH($A31,'Taxonomy and Risk'!$P$5:$P$64,0))</f>
        <v>S1</v>
      </c>
    </row>
    <row r="32" customFormat="false" ht="23.85" hidden="false" customHeight="false" outlineLevel="0" collapsed="false">
      <c r="A32" s="9" t="n">
        <v>28</v>
      </c>
      <c r="B32" s="9" t="str">
        <f aca="false">INDEX('Taxonomy and Risk'!$A$5:$A$64,MATCH($A32,'Taxonomy and Risk'!$P$5:$P$64,0))</f>
        <v>PV-11</v>
      </c>
      <c r="C32" s="10" t="str">
        <f aca="false">INDEX('Taxonomy and Risk'!$B$5:$B$64,MATCH($A32,'Taxonomy and Risk'!$P$5:$P$64,0))</f>
        <v>PV</v>
      </c>
      <c r="D32" s="10" t="str">
        <f aca="false">INDEX('Taxonomy and Risk'!$C$5:$C$64,MATCH($A32,'Taxonomy and Risk'!$P$5:$P$64,0))</f>
        <v>Wiring methods for exposed or ground-mounted PV conductors not specified</v>
      </c>
      <c r="E32" s="10" t="str">
        <f aca="false">INDEX('Taxonomy and Risk'!$E$5:$E$64,MATCH($A32,'Taxonomy and Risk'!$P$5:$P$64,0))</f>
        <v>Fire</v>
      </c>
      <c r="F32" s="9" t="n">
        <f aca="false">INDEX('Taxonomy and Risk'!$M$5:$M$64,MATCH($A32,'Taxonomy and Risk'!$P$5:$P$64,0))</f>
        <v>2</v>
      </c>
      <c r="G32" s="9" t="n">
        <f aca="false">INDEX('Taxonomy and Risk'!$N$5:$N$64,MATCH($A32,'Taxonomy and Risk'!$P$5:$P$64,0))</f>
        <v>8</v>
      </c>
      <c r="H32" s="10" t="str">
        <f aca="false">INDEX('Taxonomy and Risk'!$O$5:$O$64,MATCH($A32,'Taxonomy and Risk'!$P$5:$P$64,0))</f>
        <v>Tier 2: Standard</v>
      </c>
      <c r="I32" s="10" t="str">
        <f aca="false">INDEX('Taxonomy and Risk'!$Q$5:$Q$64,MATCH($A32,'Taxonomy and Risk'!$P$5:$P$64,0))</f>
        <v>690.31</v>
      </c>
      <c r="J32" s="10" t="str">
        <f aca="false">INDEX('Taxonomy and Risk'!$J$5:$J$64,MATCH($A32,'Taxonomy and Risk'!$P$5:$P$64,0))</f>
        <v>S1</v>
      </c>
    </row>
    <row r="33" customFormat="false" ht="15" hidden="false" customHeight="false" outlineLevel="0" collapsed="false">
      <c r="A33" s="9" t="n">
        <v>29</v>
      </c>
      <c r="B33" s="9" t="str">
        <f aca="false">INDEX('Taxonomy and Risk'!$A$5:$A$64,MATCH($A33,'Taxonomy and Risk'!$P$5:$P$64,0))</f>
        <v>ES-02</v>
      </c>
      <c r="C33" s="10" t="str">
        <f aca="false">INDEX('Taxonomy and Risk'!$B$5:$B$64,MATCH($A33,'Taxonomy and Risk'!$P$5:$P$64,0))</f>
        <v>Energy storage</v>
      </c>
      <c r="D33" s="10" t="str">
        <f aca="false">INDEX('Taxonomy and Risk'!$C$5:$C$64,MATCH($A33,'Taxonomy and Risk'!$P$5:$P$64,0))</f>
        <v>ESS installed in a location or quantity not permitted</v>
      </c>
      <c r="E33" s="10" t="str">
        <f aca="false">INDEX('Taxonomy and Risk'!$E$5:$E$64,MATCH($A33,'Taxonomy and Risk'!$P$5:$P$64,0))</f>
        <v>Fire</v>
      </c>
      <c r="F33" s="9" t="n">
        <f aca="false">INDEX('Taxonomy and Risk'!$M$5:$M$64,MATCH($A33,'Taxonomy and Risk'!$P$5:$P$64,0))</f>
        <v>2</v>
      </c>
      <c r="G33" s="9" t="n">
        <f aca="false">INDEX('Taxonomy and Risk'!$N$5:$N$64,MATCH($A33,'Taxonomy and Risk'!$P$5:$P$64,0))</f>
        <v>8</v>
      </c>
      <c r="H33" s="10" t="str">
        <f aca="false">INDEX('Taxonomy and Risk'!$O$5:$O$64,MATCH($A33,'Taxonomy and Risk'!$P$5:$P$64,0))</f>
        <v>Tier 2: Standard</v>
      </c>
      <c r="I33" s="10" t="str">
        <f aca="false">INDEX('Taxonomy and Risk'!$Q$5:$Q$64,MATCH($A33,'Taxonomy and Risk'!$P$5:$P$64,0))</f>
        <v>706.10</v>
      </c>
      <c r="J33" s="10" t="str">
        <f aca="false">INDEX('Taxonomy and Risk'!$J$5:$J$64,MATCH($A33,'Taxonomy and Risk'!$P$5:$P$64,0))</f>
        <v>S1</v>
      </c>
    </row>
    <row r="34" customFormat="false" ht="15" hidden="false" customHeight="false" outlineLevel="0" collapsed="false">
      <c r="A34" s="9" t="n">
        <v>30</v>
      </c>
      <c r="B34" s="9" t="str">
        <f aca="false">INDEX('Taxonomy and Risk'!$A$5:$A$64,MATCH($A34,'Taxonomy and Risk'!$P$5:$P$64,0))</f>
        <v>ES-03</v>
      </c>
      <c r="C34" s="10" t="str">
        <f aca="false">INDEX('Taxonomy and Risk'!$B$5:$B$64,MATCH($A34,'Taxonomy and Risk'!$P$5:$P$64,0))</f>
        <v>Energy storage</v>
      </c>
      <c r="D34" s="10" t="str">
        <f aca="false">INDEX('Taxonomy and Risk'!$C$5:$C$64,MATCH($A34,'Taxonomy and Risk'!$P$5:$P$64,0))</f>
        <v>Physical damage or vehicle impact protection for ESS not shown</v>
      </c>
      <c r="E34" s="10" t="str">
        <f aca="false">INDEX('Taxonomy and Risk'!$E$5:$E$64,MATCH($A34,'Taxonomy and Risk'!$P$5:$P$64,0))</f>
        <v>Fire</v>
      </c>
      <c r="F34" s="9" t="n">
        <f aca="false">INDEX('Taxonomy and Risk'!$M$5:$M$64,MATCH($A34,'Taxonomy and Risk'!$P$5:$P$64,0))</f>
        <v>2</v>
      </c>
      <c r="G34" s="9" t="n">
        <f aca="false">INDEX('Taxonomy and Risk'!$N$5:$N$64,MATCH($A34,'Taxonomy and Risk'!$P$5:$P$64,0))</f>
        <v>8</v>
      </c>
      <c r="H34" s="10" t="str">
        <f aca="false">INDEX('Taxonomy and Risk'!$O$5:$O$64,MATCH($A34,'Taxonomy and Risk'!$P$5:$P$64,0))</f>
        <v>Tier 2: Standard</v>
      </c>
      <c r="I34" s="10" t="str">
        <f aca="false">INDEX('Taxonomy and Risk'!$Q$5:$Q$64,MATCH($A34,'Taxonomy and Risk'!$P$5:$P$64,0))</f>
        <v>110.27(B)</v>
      </c>
      <c r="J34" s="10" t="str">
        <f aca="false">INDEX('Taxonomy and Risk'!$J$5:$J$64,MATCH($A34,'Taxonomy and Risk'!$P$5:$P$64,0))</f>
        <v>S1</v>
      </c>
    </row>
    <row r="35" customFormat="false" ht="23.85" hidden="false" customHeight="false" outlineLevel="0" collapsed="false">
      <c r="A35" s="9" t="n">
        <v>31</v>
      </c>
      <c r="B35" s="9" t="str">
        <f aca="false">INDEX('Taxonomy and Risk'!$A$5:$A$64,MATCH($A35,'Taxonomy and Risk'!$P$5:$P$64,0))</f>
        <v>ES-04</v>
      </c>
      <c r="C35" s="10" t="str">
        <f aca="false">INDEX('Taxonomy and Risk'!$B$5:$B$64,MATCH($A35,'Taxonomy and Risk'!$P$5:$P$64,0))</f>
        <v>Energy storage</v>
      </c>
      <c r="D35" s="10" t="str">
        <f aca="false">INDEX('Taxonomy and Risk'!$C$5:$C$64,MATCH($A35,'Taxonomy and Risk'!$P$5:$P$64,0))</f>
        <v>ESS circuit sizing or overcurrent protection incorrect, including conductors passing through walls</v>
      </c>
      <c r="E35" s="10" t="str">
        <f aca="false">INDEX('Taxonomy and Risk'!$E$5:$E$64,MATCH($A35,'Taxonomy and Risk'!$P$5:$P$64,0))</f>
        <v>Fire</v>
      </c>
      <c r="F35" s="9" t="n">
        <f aca="false">INDEX('Taxonomy and Risk'!$M$5:$M$64,MATCH($A35,'Taxonomy and Risk'!$P$5:$P$64,0))</f>
        <v>2</v>
      </c>
      <c r="G35" s="9" t="n">
        <f aca="false">INDEX('Taxonomy and Risk'!$N$5:$N$64,MATCH($A35,'Taxonomy and Risk'!$P$5:$P$64,0))</f>
        <v>8</v>
      </c>
      <c r="H35" s="10" t="str">
        <f aca="false">INDEX('Taxonomy and Risk'!$O$5:$O$64,MATCH($A35,'Taxonomy and Risk'!$P$5:$P$64,0))</f>
        <v>Tier 2: Standard</v>
      </c>
      <c r="I35" s="10" t="str">
        <f aca="false">INDEX('Taxonomy and Risk'!$Q$5:$Q$64,MATCH($A35,'Taxonomy and Risk'!$P$5:$P$64,0))</f>
        <v>706.30; 706.31(F)</v>
      </c>
      <c r="J35" s="10" t="str">
        <f aca="false">INDEX('Taxonomy and Risk'!$J$5:$J$64,MATCH($A35,'Taxonomy and Risk'!$P$5:$P$64,0))</f>
        <v>S1</v>
      </c>
    </row>
    <row r="36" customFormat="false" ht="15" hidden="false" customHeight="false" outlineLevel="0" collapsed="false">
      <c r="A36" s="9" t="n">
        <v>32</v>
      </c>
      <c r="B36" s="9" t="str">
        <f aca="false">INDEX('Taxonomy and Risk'!$A$5:$A$64,MATCH($A36,'Taxonomy and Risk'!$P$5:$P$64,0))</f>
        <v>ES-05</v>
      </c>
      <c r="C36" s="10" t="str">
        <f aca="false">INDEX('Taxonomy and Risk'!$B$5:$B$64,MATCH($A36,'Taxonomy and Risk'!$P$5:$P$64,0))</f>
        <v>Energy storage</v>
      </c>
      <c r="D36" s="10" t="str">
        <f aca="false">INDEX('Taxonomy and Risk'!$C$5:$C$64,MATCH($A36,'Taxonomy and Risk'!$P$5:$P$64,0))</f>
        <v>ESS or inverter listing not documented</v>
      </c>
      <c r="E36" s="10" t="str">
        <f aca="false">INDEX('Taxonomy and Risk'!$E$5:$E$64,MATCH($A36,'Taxonomy and Risk'!$P$5:$P$64,0))</f>
        <v>Fire</v>
      </c>
      <c r="F36" s="9" t="n">
        <f aca="false">INDEX('Taxonomy and Risk'!$M$5:$M$64,MATCH($A36,'Taxonomy and Risk'!$P$5:$P$64,0))</f>
        <v>2</v>
      </c>
      <c r="G36" s="9" t="n">
        <f aca="false">INDEX('Taxonomy and Risk'!$N$5:$N$64,MATCH($A36,'Taxonomy and Risk'!$P$5:$P$64,0))</f>
        <v>8</v>
      </c>
      <c r="H36" s="10" t="str">
        <f aca="false">INDEX('Taxonomy and Risk'!$O$5:$O$64,MATCH($A36,'Taxonomy and Risk'!$P$5:$P$64,0))</f>
        <v>Tier 2: Standard</v>
      </c>
      <c r="I36" s="10" t="str">
        <f aca="false">INDEX('Taxonomy and Risk'!$Q$5:$Q$64,MATCH($A36,'Taxonomy and Risk'!$P$5:$P$64,0))</f>
        <v>706.5 (verify)</v>
      </c>
      <c r="J36" s="10" t="str">
        <f aca="false">INDEX('Taxonomy and Risk'!$J$5:$J$64,MATCH($A36,'Taxonomy and Risk'!$P$5:$P$64,0))</f>
        <v>S1</v>
      </c>
    </row>
    <row r="37" customFormat="false" ht="15" hidden="false" customHeight="false" outlineLevel="0" collapsed="false">
      <c r="A37" s="9" t="n">
        <v>33</v>
      </c>
      <c r="B37" s="9" t="str">
        <f aca="false">INDEX('Taxonomy and Risk'!$A$5:$A$64,MATCH($A37,'Taxonomy and Risk'!$P$5:$P$64,0))</f>
        <v>ES-06</v>
      </c>
      <c r="C37" s="10" t="str">
        <f aca="false">INDEX('Taxonomy and Risk'!$B$5:$B$64,MATCH($A37,'Taxonomy and Risk'!$P$5:$P$64,0))</f>
        <v>Energy storage</v>
      </c>
      <c r="D37" s="10" t="str">
        <f aca="false">INDEX('Taxonomy and Risk'!$C$5:$C$64,MATCH($A37,'Taxonomy and Risk'!$P$5:$P$64,0))</f>
        <v>Power control system listing or settings not documented</v>
      </c>
      <c r="E37" s="10" t="str">
        <f aca="false">INDEX('Taxonomy and Risk'!$E$5:$E$64,MATCH($A37,'Taxonomy and Risk'!$P$5:$P$64,0))</f>
        <v>Fire</v>
      </c>
      <c r="F37" s="9" t="n">
        <f aca="false">INDEX('Taxonomy and Risk'!$M$5:$M$64,MATCH($A37,'Taxonomy and Risk'!$P$5:$P$64,0))</f>
        <v>2</v>
      </c>
      <c r="G37" s="9" t="n">
        <f aca="false">INDEX('Taxonomy and Risk'!$N$5:$N$64,MATCH($A37,'Taxonomy and Risk'!$P$5:$P$64,0))</f>
        <v>8</v>
      </c>
      <c r="H37" s="10" t="str">
        <f aca="false">INDEX('Taxonomy and Risk'!$O$5:$O$64,MATCH($A37,'Taxonomy and Risk'!$P$5:$P$64,0))</f>
        <v>Tier 2: Standard</v>
      </c>
      <c r="I37" s="10" t="str">
        <f aca="false">INDEX('Taxonomy and Risk'!$Q$5:$Q$64,MATCH($A37,'Taxonomy and Risk'!$P$5:$P$64,0))</f>
        <v>705.13</v>
      </c>
      <c r="J37" s="10" t="str">
        <f aca="false">INDEX('Taxonomy and Risk'!$J$5:$J$64,MATCH($A37,'Taxonomy and Risk'!$P$5:$P$64,0))</f>
        <v>S1</v>
      </c>
    </row>
    <row r="38" customFormat="false" ht="23.85" hidden="false" customHeight="false" outlineLevel="0" collapsed="false">
      <c r="A38" s="9" t="n">
        <v>34</v>
      </c>
      <c r="B38" s="9" t="str">
        <f aca="false">INDEX('Taxonomy and Risk'!$A$5:$A$64,MATCH($A38,'Taxonomy and Risk'!$P$5:$P$64,0))</f>
        <v>EM-11</v>
      </c>
      <c r="C38" s="10" t="str">
        <f aca="false">INDEX('Taxonomy and Risk'!$B$5:$B$64,MATCH($A38,'Taxonomy and Risk'!$P$5:$P$64,0))</f>
        <v>Emergency and standby</v>
      </c>
      <c r="D38" s="10" t="str">
        <f aca="false">INDEX('Taxonomy and Risk'!$C$5:$C$64,MATCH($A38,'Taxonomy and Risk'!$P$5:$P$64,0))</f>
        <v>Emergency equipment not protected from fire, flood, or vandalism</v>
      </c>
      <c r="E38" s="10" t="str">
        <f aca="false">INDEX('Taxonomy and Risk'!$E$5:$E$64,MATCH($A38,'Taxonomy and Risk'!$P$5:$P$64,0))</f>
        <v>Fire</v>
      </c>
      <c r="F38" s="9" t="n">
        <f aca="false">INDEX('Taxonomy and Risk'!$M$5:$M$64,MATCH($A38,'Taxonomy and Risk'!$P$5:$P$64,0))</f>
        <v>2</v>
      </c>
      <c r="G38" s="9" t="n">
        <f aca="false">INDEX('Taxonomy and Risk'!$N$5:$N$64,MATCH($A38,'Taxonomy and Risk'!$P$5:$P$64,0))</f>
        <v>8</v>
      </c>
      <c r="H38" s="10" t="str">
        <f aca="false">INDEX('Taxonomy and Risk'!$O$5:$O$64,MATCH($A38,'Taxonomy and Risk'!$P$5:$P$64,0))</f>
        <v>Tier 2: Standard</v>
      </c>
      <c r="I38" s="10" t="str">
        <f aca="false">INDEX('Taxonomy and Risk'!$Q$5:$Q$64,MATCH($A38,'Taxonomy and Risk'!$P$5:$P$64,0))</f>
        <v>700.12; 701.12</v>
      </c>
      <c r="J38" s="10" t="str">
        <f aca="false">INDEX('Taxonomy and Risk'!$J$5:$J$64,MATCH($A38,'Taxonomy and Risk'!$P$5:$P$64,0))</f>
        <v>S4</v>
      </c>
    </row>
    <row r="39" customFormat="false" ht="15" hidden="false" customHeight="false" outlineLevel="0" collapsed="false">
      <c r="A39" s="9" t="n">
        <v>35</v>
      </c>
      <c r="B39" s="9" t="str">
        <f aca="false">INDEX('Taxonomy and Risk'!$A$5:$A$64,MATCH($A39,'Taxonomy and Risk'!$P$5:$P$64,0))</f>
        <v>FA-04</v>
      </c>
      <c r="C39" s="10" t="str">
        <f aca="false">INDEX('Taxonomy and Risk'!$B$5:$B$64,MATCH($A39,'Taxonomy and Risk'!$P$5:$P$64,0))</f>
        <v>Fire alarm</v>
      </c>
      <c r="D39" s="10" t="str">
        <f aca="false">INDEX('Taxonomy and Risk'!$C$5:$C$64,MATCH($A39,'Taxonomy and Risk'!$P$5:$P$64,0))</f>
        <v>Fire alarm cable types or wire sizes not identified</v>
      </c>
      <c r="E39" s="10" t="str">
        <f aca="false">INDEX('Taxonomy and Risk'!$E$5:$E$64,MATCH($A39,'Taxonomy and Risk'!$P$5:$P$64,0))</f>
        <v>Fire</v>
      </c>
      <c r="F39" s="9" t="n">
        <f aca="false">INDEX('Taxonomy and Risk'!$M$5:$M$64,MATCH($A39,'Taxonomy and Risk'!$P$5:$P$64,0))</f>
        <v>2</v>
      </c>
      <c r="G39" s="9" t="n">
        <f aca="false">INDEX('Taxonomy and Risk'!$N$5:$N$64,MATCH($A39,'Taxonomy and Risk'!$P$5:$P$64,0))</f>
        <v>8</v>
      </c>
      <c r="H39" s="10" t="str">
        <f aca="false">INDEX('Taxonomy and Risk'!$O$5:$O$64,MATCH($A39,'Taxonomy and Risk'!$P$5:$P$64,0))</f>
        <v>Tier 2: Standard</v>
      </c>
      <c r="I39" s="10" t="str">
        <f aca="false">INDEX('Taxonomy and Risk'!$Q$5:$Q$64,MATCH($A39,'Taxonomy and Risk'!$P$5:$P$64,0))</f>
        <v>760.135; 760.154</v>
      </c>
      <c r="J39" s="10" t="str">
        <f aca="false">INDEX('Taxonomy and Risk'!$J$5:$J$64,MATCH($A39,'Taxonomy and Risk'!$P$5:$P$64,0))</f>
        <v>S7</v>
      </c>
    </row>
    <row r="40" customFormat="false" ht="23.85" hidden="false" customHeight="false" outlineLevel="0" collapsed="false">
      <c r="A40" s="9" t="n">
        <v>36</v>
      </c>
      <c r="B40" s="9" t="str">
        <f aca="false">INDEX('Taxonomy and Risk'!$A$5:$A$64,MATCH($A40,'Taxonomy and Risk'!$P$5:$P$64,0))</f>
        <v>SD-07</v>
      </c>
      <c r="C40" s="10" t="str">
        <f aca="false">INDEX('Taxonomy and Risk'!$B$5:$B$64,MATCH($A40,'Taxonomy and Risk'!$P$5:$P$64,0))</f>
        <v>Service and distribution</v>
      </c>
      <c r="D40" s="10" t="str">
        <f aca="false">INDEX('Taxonomy and Risk'!$C$5:$C$64,MATCH($A40,'Taxonomy and Risk'!$P$5:$P$64,0))</f>
        <v>Ground-fault protection of equipment not provided where required</v>
      </c>
      <c r="E40" s="10" t="str">
        <f aca="false">INDEX('Taxonomy and Risk'!$E$5:$E$64,MATCH($A40,'Taxonomy and Risk'!$P$5:$P$64,0))</f>
        <v>Fire</v>
      </c>
      <c r="F40" s="9" t="n">
        <f aca="false">INDEX('Taxonomy and Risk'!$M$5:$M$64,MATCH($A40,'Taxonomy and Risk'!$P$5:$P$64,0))</f>
        <v>2</v>
      </c>
      <c r="G40" s="9" t="n">
        <f aca="false">INDEX('Taxonomy and Risk'!$N$5:$N$64,MATCH($A40,'Taxonomy and Risk'!$P$5:$P$64,0))</f>
        <v>8</v>
      </c>
      <c r="H40" s="10" t="str">
        <f aca="false">INDEX('Taxonomy and Risk'!$O$5:$O$64,MATCH($A40,'Taxonomy and Risk'!$P$5:$P$64,0))</f>
        <v>Tier 2: Standard</v>
      </c>
      <c r="I40" s="10" t="str">
        <f aca="false">INDEX('Taxonomy and Risk'!$Q$5:$Q$64,MATCH($A40,'Taxonomy and Risk'!$P$5:$P$64,0))</f>
        <v>230.95; 215.10</v>
      </c>
      <c r="J40" s="10" t="str">
        <f aca="false">INDEX('Taxonomy and Risk'!$J$5:$J$64,MATCH($A40,'Taxonomy and Risk'!$P$5:$P$64,0))</f>
        <v>S5</v>
      </c>
    </row>
    <row r="41" customFormat="false" ht="23.85" hidden="false" customHeight="false" outlineLevel="0" collapsed="false">
      <c r="A41" s="9" t="n">
        <v>37</v>
      </c>
      <c r="B41" s="9" t="str">
        <f aca="false">INDEX('Taxonomy and Risk'!$A$5:$A$64,MATCH($A41,'Taxonomy and Risk'!$P$5:$P$64,0))</f>
        <v>SD-09</v>
      </c>
      <c r="C41" s="10" t="str">
        <f aca="false">INDEX('Taxonomy and Risk'!$B$5:$B$64,MATCH($A41,'Taxonomy and Risk'!$P$5:$P$64,0))</f>
        <v>Service and distribution</v>
      </c>
      <c r="D41" s="10" t="str">
        <f aca="false">INDEX('Taxonomy and Risk'!$C$5:$C$64,MATCH($A41,'Taxonomy and Risk'!$P$5:$P$64,0))</f>
        <v>Transformer protection or secondary conductor rules not met</v>
      </c>
      <c r="E41" s="10" t="str">
        <f aca="false">INDEX('Taxonomy and Risk'!$E$5:$E$64,MATCH($A41,'Taxonomy and Risk'!$P$5:$P$64,0))</f>
        <v>Fire</v>
      </c>
      <c r="F41" s="9" t="n">
        <f aca="false">INDEX('Taxonomy and Risk'!$M$5:$M$64,MATCH($A41,'Taxonomy and Risk'!$P$5:$P$64,0))</f>
        <v>2</v>
      </c>
      <c r="G41" s="9" t="n">
        <f aca="false">INDEX('Taxonomy and Risk'!$N$5:$N$64,MATCH($A41,'Taxonomy and Risk'!$P$5:$P$64,0))</f>
        <v>8</v>
      </c>
      <c r="H41" s="10" t="str">
        <f aca="false">INDEX('Taxonomy and Risk'!$O$5:$O$64,MATCH($A41,'Taxonomy and Risk'!$P$5:$P$64,0))</f>
        <v>Tier 2: Standard</v>
      </c>
      <c r="I41" s="10" t="str">
        <f aca="false">INDEX('Taxonomy and Risk'!$Q$5:$Q$64,MATCH($A41,'Taxonomy and Risk'!$P$5:$P$64,0))</f>
        <v>450.3; 240.21(C)</v>
      </c>
      <c r="J41" s="10" t="str">
        <f aca="false">INDEX('Taxonomy and Risk'!$J$5:$J$64,MATCH($A41,'Taxonomy and Risk'!$P$5:$P$64,0))</f>
        <v>S6</v>
      </c>
    </row>
    <row r="42" customFormat="false" ht="15" hidden="false" customHeight="false" outlineLevel="0" collapsed="false">
      <c r="A42" s="9" t="n">
        <v>38</v>
      </c>
      <c r="B42" s="9" t="str">
        <f aca="false">INDEX('Taxonomy and Risk'!$A$5:$A$64,MATCH($A42,'Taxonomy and Risk'!$P$5:$P$64,0))</f>
        <v>LC-02</v>
      </c>
      <c r="C42" s="10" t="str">
        <f aca="false">INDEX('Taxonomy and Risk'!$B$5:$B$64,MATCH($A42,'Taxonomy and Risk'!$P$5:$P$64,0))</f>
        <v>Load calculations</v>
      </c>
      <c r="D42" s="10" t="str">
        <f aca="false">INDEX('Taxonomy and Risk'!$C$5:$C$64,MATCH($A42,'Taxonomy and Risk'!$P$5:$P$64,0))</f>
        <v>Existing load not determined correctly for additions or renovations</v>
      </c>
      <c r="E42" s="10" t="str">
        <f aca="false">INDEX('Taxonomy and Risk'!$E$5:$E$64,MATCH($A42,'Taxonomy and Risk'!$P$5:$P$64,0))</f>
        <v>Fire</v>
      </c>
      <c r="F42" s="9" t="n">
        <f aca="false">INDEX('Taxonomy and Risk'!$M$5:$M$64,MATCH($A42,'Taxonomy and Risk'!$P$5:$P$64,0))</f>
        <v>2</v>
      </c>
      <c r="G42" s="9" t="n">
        <f aca="false">INDEX('Taxonomy and Risk'!$N$5:$N$64,MATCH($A42,'Taxonomy and Risk'!$P$5:$P$64,0))</f>
        <v>8</v>
      </c>
      <c r="H42" s="10" t="str">
        <f aca="false">INDEX('Taxonomy and Risk'!$O$5:$O$64,MATCH($A42,'Taxonomy and Risk'!$P$5:$P$64,0))</f>
        <v>Tier 2: Standard</v>
      </c>
      <c r="I42" s="10" t="str">
        <f aca="false">INDEX('Taxonomy and Risk'!$Q$5:$Q$64,MATCH($A42,'Taxonomy and Risk'!$P$5:$P$64,0))</f>
        <v>220.87</v>
      </c>
      <c r="J42" s="10" t="str">
        <f aca="false">INDEX('Taxonomy and Risk'!$J$5:$J$64,MATCH($A42,'Taxonomy and Risk'!$P$5:$P$64,0))</f>
        <v>S4</v>
      </c>
    </row>
    <row r="43" customFormat="false" ht="23.85" hidden="false" customHeight="false" outlineLevel="0" collapsed="false">
      <c r="A43" s="9" t="n">
        <v>39</v>
      </c>
      <c r="B43" s="9" t="str">
        <f aca="false">INDEX('Taxonomy and Risk'!$A$5:$A$64,MATCH($A43,'Taxonomy and Risk'!$P$5:$P$64,0))</f>
        <v>EM-03</v>
      </c>
      <c r="C43" s="10" t="str">
        <f aca="false">INDEX('Taxonomy and Risk'!$B$5:$B$64,MATCH($A43,'Taxonomy and Risk'!$P$5:$P$64,0))</f>
        <v>Emergency and standby</v>
      </c>
      <c r="D43" s="10" t="str">
        <f aca="false">INDEX('Taxonomy and Risk'!$C$5:$C$64,MATCH($A43,'Taxonomy and Risk'!$P$5:$P$64,0))</f>
        <v>Fire protection of emergency feeders not provided where required</v>
      </c>
      <c r="E43" s="10" t="str">
        <f aca="false">INDEX('Taxonomy and Risk'!$E$5:$E$64,MATCH($A43,'Taxonomy and Risk'!$P$5:$P$64,0))</f>
        <v>Life safety</v>
      </c>
      <c r="F43" s="9" t="n">
        <f aca="false">INDEX('Taxonomy and Risk'!$M$5:$M$64,MATCH($A43,'Taxonomy and Risk'!$P$5:$P$64,0))</f>
        <v>1</v>
      </c>
      <c r="G43" s="9" t="n">
        <f aca="false">INDEX('Taxonomy and Risk'!$N$5:$N$64,MATCH($A43,'Taxonomy and Risk'!$P$5:$P$64,0))</f>
        <v>5</v>
      </c>
      <c r="H43" s="10" t="str">
        <f aca="false">INDEX('Taxonomy and Risk'!$O$5:$O$64,MATCH($A43,'Taxonomy and Risk'!$P$5:$P$64,0))</f>
        <v>Tier 3: Spot check</v>
      </c>
      <c r="I43" s="10" t="str">
        <f aca="false">INDEX('Taxonomy and Risk'!$Q$5:$Q$64,MATCH($A43,'Taxonomy and Risk'!$P$5:$P$64,0))</f>
        <v>700.10(D)</v>
      </c>
      <c r="J43" s="10" t="str">
        <f aca="false">INDEX('Taxonomy and Risk'!$J$5:$J$64,MATCH($A43,'Taxonomy and Risk'!$P$5:$P$64,0))</f>
        <v>None found</v>
      </c>
    </row>
    <row r="44" customFormat="false" ht="23.85" hidden="false" customHeight="false" outlineLevel="0" collapsed="false">
      <c r="A44" s="9" t="n">
        <v>40</v>
      </c>
      <c r="B44" s="9" t="str">
        <f aca="false">INDEX('Taxonomy and Risk'!$A$5:$A$64,MATCH($A44,'Taxonomy and Risk'!$P$5:$P$64,0))</f>
        <v>EM-09</v>
      </c>
      <c r="C44" s="10" t="str">
        <f aca="false">INDEX('Taxonomy and Risk'!$B$5:$B$64,MATCH($A44,'Taxonomy and Risk'!$P$5:$P$64,0))</f>
        <v>Emergency and standby</v>
      </c>
      <c r="D44" s="10" t="str">
        <f aca="false">INDEX('Taxonomy and Risk'!$C$5:$C$64,MATCH($A44,'Taxonomy and Risk'!$P$5:$P$64,0))</f>
        <v>Emergency shutdown for dwelling generators not shown</v>
      </c>
      <c r="E44" s="10" t="str">
        <f aca="false">INDEX('Taxonomy and Risk'!$E$5:$E$64,MATCH($A44,'Taxonomy and Risk'!$P$5:$P$64,0))</f>
        <v>Life safety</v>
      </c>
      <c r="F44" s="9" t="n">
        <f aca="false">INDEX('Taxonomy and Risk'!$M$5:$M$64,MATCH($A44,'Taxonomy and Risk'!$P$5:$P$64,0))</f>
        <v>1</v>
      </c>
      <c r="G44" s="9" t="n">
        <f aca="false">INDEX('Taxonomy and Risk'!$N$5:$N$64,MATCH($A44,'Taxonomy and Risk'!$P$5:$P$64,0))</f>
        <v>5</v>
      </c>
      <c r="H44" s="10" t="str">
        <f aca="false">INDEX('Taxonomy and Risk'!$O$5:$O$64,MATCH($A44,'Taxonomy and Risk'!$P$5:$P$64,0))</f>
        <v>Tier 3: Spot check</v>
      </c>
      <c r="I44" s="10" t="str">
        <f aca="false">INDEX('Taxonomy and Risk'!$Q$5:$Q$64,MATCH($A44,'Taxonomy and Risk'!$P$5:$P$64,0))</f>
        <v>445.19(C)</v>
      </c>
      <c r="J44" s="10" t="str">
        <f aca="false">INDEX('Taxonomy and Risk'!$J$5:$J$64,MATCH($A44,'Taxonomy and Risk'!$P$5:$P$64,0))</f>
        <v>None found</v>
      </c>
    </row>
    <row r="45" customFormat="false" ht="15" hidden="false" customHeight="false" outlineLevel="0" collapsed="false">
      <c r="A45" s="9" t="n">
        <v>41</v>
      </c>
      <c r="B45" s="9" t="str">
        <f aca="false">INDEX('Taxonomy and Risk'!$A$5:$A$64,MATCH($A45,'Taxonomy and Risk'!$P$5:$P$64,0))</f>
        <v>FA-05</v>
      </c>
      <c r="C45" s="10" t="str">
        <f aca="false">INDEX('Taxonomy and Risk'!$B$5:$B$64,MATCH($A45,'Taxonomy and Risk'!$P$5:$P$64,0))</f>
        <v>Fire alarm</v>
      </c>
      <c r="D45" s="10" t="str">
        <f aca="false">INDEX('Taxonomy and Risk'!$C$5:$C$64,MATCH($A45,'Taxonomy and Risk'!$P$5:$P$64,0))</f>
        <v>Power-limited fire alarm circuits not separated from power circuits</v>
      </c>
      <c r="E45" s="10" t="str">
        <f aca="false">INDEX('Taxonomy and Risk'!$E$5:$E$64,MATCH($A45,'Taxonomy and Risk'!$P$5:$P$64,0))</f>
        <v>Life safety</v>
      </c>
      <c r="F45" s="9" t="n">
        <f aca="false">INDEX('Taxonomy and Risk'!$M$5:$M$64,MATCH($A45,'Taxonomy and Risk'!$P$5:$P$64,0))</f>
        <v>1</v>
      </c>
      <c r="G45" s="9" t="n">
        <f aca="false">INDEX('Taxonomy and Risk'!$N$5:$N$64,MATCH($A45,'Taxonomy and Risk'!$P$5:$P$64,0))</f>
        <v>5</v>
      </c>
      <c r="H45" s="10" t="str">
        <f aca="false">INDEX('Taxonomy and Risk'!$O$5:$O$64,MATCH($A45,'Taxonomy and Risk'!$P$5:$P$64,0))</f>
        <v>Tier 3: Spot check</v>
      </c>
      <c r="I45" s="10" t="str">
        <f aca="false">INDEX('Taxonomy and Risk'!$Q$5:$Q$64,MATCH($A45,'Taxonomy and Risk'!$P$5:$P$64,0))</f>
        <v>760.136</v>
      </c>
      <c r="J45" s="10" t="str">
        <f aca="false">INDEX('Taxonomy and Risk'!$J$5:$J$64,MATCH($A45,'Taxonomy and Risk'!$P$5:$P$64,0))</f>
        <v>None found</v>
      </c>
    </row>
    <row r="46" customFormat="false" ht="23.85" hidden="false" customHeight="false" outlineLevel="0" collapsed="false">
      <c r="A46" s="9" t="n">
        <v>42</v>
      </c>
      <c r="B46" s="9" t="str">
        <f aca="false">INDEX('Taxonomy and Risk'!$A$5:$A$64,MATCH($A46,'Taxonomy and Risk'!$P$5:$P$64,0))</f>
        <v>SD-10</v>
      </c>
      <c r="C46" s="10" t="str">
        <f aca="false">INDEX('Taxonomy and Risk'!$B$5:$B$64,MATCH($A46,'Taxonomy and Risk'!$P$5:$P$64,0))</f>
        <v>Service and distribution</v>
      </c>
      <c r="D46" s="10" t="str">
        <f aca="false">INDEX('Taxonomy and Risk'!$C$5:$C$64,MATCH($A46,'Taxonomy and Risk'!$P$5:$P$64,0))</f>
        <v>Arc energy reduction not provided for large overcurrent devices</v>
      </c>
      <c r="E46" s="10" t="str">
        <f aca="false">INDEX('Taxonomy and Risk'!$E$5:$E$64,MATCH($A46,'Taxonomy and Risk'!$P$5:$P$64,0))</f>
        <v>Life safety</v>
      </c>
      <c r="F46" s="9" t="n">
        <f aca="false">INDEX('Taxonomy and Risk'!$M$5:$M$64,MATCH($A46,'Taxonomy and Risk'!$P$5:$P$64,0))</f>
        <v>1</v>
      </c>
      <c r="G46" s="9" t="n">
        <f aca="false">INDEX('Taxonomy and Risk'!$N$5:$N$64,MATCH($A46,'Taxonomy and Risk'!$P$5:$P$64,0))</f>
        <v>5</v>
      </c>
      <c r="H46" s="10" t="str">
        <f aca="false">INDEX('Taxonomy and Risk'!$O$5:$O$64,MATCH($A46,'Taxonomy and Risk'!$P$5:$P$64,0))</f>
        <v>Tier 3: Spot check</v>
      </c>
      <c r="I46" s="10" t="str">
        <f aca="false">INDEX('Taxonomy and Risk'!$Q$5:$Q$64,MATCH($A46,'Taxonomy and Risk'!$P$5:$P$64,0))</f>
        <v>240.87</v>
      </c>
      <c r="J46" s="10" t="str">
        <f aca="false">INDEX('Taxonomy and Risk'!$J$5:$J$64,MATCH($A46,'Taxonomy and Risk'!$P$5:$P$64,0))</f>
        <v>None found</v>
      </c>
    </row>
    <row r="47" customFormat="false" ht="23.85" hidden="false" customHeight="false" outlineLevel="0" collapsed="false">
      <c r="A47" s="9" t="n">
        <v>43</v>
      </c>
      <c r="B47" s="9" t="str">
        <f aca="false">INDEX('Taxonomy and Risk'!$A$5:$A$64,MATCH($A47,'Taxonomy and Risk'!$P$5:$P$64,0))</f>
        <v>SD-12</v>
      </c>
      <c r="C47" s="10" t="str">
        <f aca="false">INDEX('Taxonomy and Risk'!$B$5:$B$64,MATCH($A47,'Taxonomy and Risk'!$P$5:$P$64,0))</f>
        <v>Service and distribution</v>
      </c>
      <c r="D47" s="10" t="str">
        <f aca="false">INDEX('Taxonomy and Risk'!$C$5:$C$64,MATCH($A47,'Taxonomy and Risk'!$P$5:$P$64,0))</f>
        <v>Outdoor emergency disconnect for one- and two-family dwellings not shown</v>
      </c>
      <c r="E47" s="10" t="str">
        <f aca="false">INDEX('Taxonomy and Risk'!$E$5:$E$64,MATCH($A47,'Taxonomy and Risk'!$P$5:$P$64,0))</f>
        <v>Life safety</v>
      </c>
      <c r="F47" s="9" t="n">
        <f aca="false">INDEX('Taxonomy and Risk'!$M$5:$M$64,MATCH($A47,'Taxonomy and Risk'!$P$5:$P$64,0))</f>
        <v>1</v>
      </c>
      <c r="G47" s="9" t="n">
        <f aca="false">INDEX('Taxonomy and Risk'!$N$5:$N$64,MATCH($A47,'Taxonomy and Risk'!$P$5:$P$64,0))</f>
        <v>5</v>
      </c>
      <c r="H47" s="10" t="str">
        <f aca="false">INDEX('Taxonomy and Risk'!$O$5:$O$64,MATCH($A47,'Taxonomy and Risk'!$P$5:$P$64,0))</f>
        <v>Tier 3: Spot check</v>
      </c>
      <c r="I47" s="10" t="str">
        <f aca="false">INDEX('Taxonomy and Risk'!$Q$5:$Q$64,MATCH($A47,'Taxonomy and Risk'!$P$5:$P$64,0))</f>
        <v>230.85</v>
      </c>
      <c r="J47" s="10" t="str">
        <f aca="false">INDEX('Taxonomy and Risk'!$J$5:$J$64,MATCH($A47,'Taxonomy and Risk'!$P$5:$P$64,0))</f>
        <v>None found</v>
      </c>
    </row>
    <row r="48" customFormat="false" ht="23.85" hidden="false" customHeight="false" outlineLevel="0" collapsed="false">
      <c r="A48" s="9" t="n">
        <v>44</v>
      </c>
      <c r="B48" s="9" t="str">
        <f aca="false">INDEX('Taxonomy and Risk'!$A$5:$A$64,MATCH($A48,'Taxonomy and Risk'!$P$5:$P$64,0))</f>
        <v>PV-08</v>
      </c>
      <c r="C48" s="10" t="str">
        <f aca="false">INDEX('Taxonomy and Risk'!$B$5:$B$64,MATCH($A48,'Taxonomy and Risk'!$P$5:$P$64,0))</f>
        <v>PV</v>
      </c>
      <c r="D48" s="10" t="str">
        <f aca="false">INDEX('Taxonomy and Risk'!$C$5:$C$64,MATCH($A48,'Taxonomy and Risk'!$P$5:$P$64,0))</f>
        <v>Required PV labels and power source directory missing</v>
      </c>
      <c r="E48" s="10" t="str">
        <f aca="false">INDEX('Taxonomy and Risk'!$E$5:$E$64,MATCH($A48,'Taxonomy and Risk'!$P$5:$P$64,0))</f>
        <v>Administrative</v>
      </c>
      <c r="F48" s="9" t="n">
        <f aca="false">INDEX('Taxonomy and Risk'!$M$5:$M$64,MATCH($A48,'Taxonomy and Risk'!$P$5:$P$64,0))</f>
        <v>5</v>
      </c>
      <c r="G48" s="9" t="n">
        <f aca="false">INDEX('Taxonomy and Risk'!$N$5:$N$64,MATCH($A48,'Taxonomy and Risk'!$P$5:$P$64,0))</f>
        <v>5</v>
      </c>
      <c r="H48" s="10" t="str">
        <f aca="false">INDEX('Taxonomy and Risk'!$O$5:$O$64,MATCH($A48,'Taxonomy and Risk'!$P$5:$P$64,0))</f>
        <v>Tier 3: Spot check</v>
      </c>
      <c r="I48" s="10" t="str">
        <f aca="false">INDEX('Taxonomy and Risk'!$Q$5:$Q$64,MATCH($A48,'Taxonomy and Risk'!$P$5:$P$64,0))</f>
        <v>690.13; 690.53; 690.56; 705.10</v>
      </c>
      <c r="J48" s="10" t="str">
        <f aca="false">INDEX('Taxonomy and Risk'!$J$5:$J$64,MATCH($A48,'Taxonomy and Risk'!$P$5:$P$64,0))</f>
        <v>S1, S9</v>
      </c>
    </row>
    <row r="49" customFormat="false" ht="15" hidden="false" customHeight="false" outlineLevel="0" collapsed="false">
      <c r="A49" s="9" t="n">
        <v>45</v>
      </c>
      <c r="B49" s="9" t="str">
        <f aca="false">INDEX('Taxonomy and Risk'!$A$5:$A$64,MATCH($A49,'Taxonomy and Risk'!$P$5:$P$64,0))</f>
        <v>PV-12</v>
      </c>
      <c r="C49" s="10" t="str">
        <f aca="false">INDEX('Taxonomy and Risk'!$B$5:$B$64,MATCH($A49,'Taxonomy and Risk'!$P$5:$P$64,0))</f>
        <v>PV</v>
      </c>
      <c r="D49" s="10" t="str">
        <f aca="false">INDEX('Taxonomy and Risk'!$C$5:$C$64,MATCH($A49,'Taxonomy and Risk'!$P$5:$P$64,0))</f>
        <v>Equipment details mismatched across sheets or cut sheets missing</v>
      </c>
      <c r="E49" s="10" t="str">
        <f aca="false">INDEX('Taxonomy and Risk'!$E$5:$E$64,MATCH($A49,'Taxonomy and Risk'!$P$5:$P$64,0))</f>
        <v>Administrative</v>
      </c>
      <c r="F49" s="9" t="n">
        <f aca="false">INDEX('Taxonomy and Risk'!$M$5:$M$64,MATCH($A49,'Taxonomy and Risk'!$P$5:$P$64,0))</f>
        <v>5</v>
      </c>
      <c r="G49" s="9" t="n">
        <f aca="false">INDEX('Taxonomy and Risk'!$N$5:$N$64,MATCH($A49,'Taxonomy and Risk'!$P$5:$P$64,0))</f>
        <v>5</v>
      </c>
      <c r="H49" s="10" t="str">
        <f aca="false">INDEX('Taxonomy and Risk'!$O$5:$O$64,MATCH($A49,'Taxonomy and Risk'!$P$5:$P$64,0))</f>
        <v>Tier 3: Spot check</v>
      </c>
      <c r="I49" s="10" t="str">
        <f aca="false">INDEX('Taxonomy and Risk'!$Q$5:$Q$64,MATCH($A49,'Taxonomy and Risk'!$P$5:$P$64,0))</f>
        <v>110.3(B)</v>
      </c>
      <c r="J49" s="10" t="str">
        <f aca="false">INDEX('Taxonomy and Risk'!$J$5:$J$64,MATCH($A49,'Taxonomy and Risk'!$P$5:$P$64,0))</f>
        <v>S1, S9, S10, S11</v>
      </c>
    </row>
    <row r="50" customFormat="false" ht="15" hidden="false" customHeight="false" outlineLevel="0" collapsed="false">
      <c r="A50" s="9" t="n">
        <v>46</v>
      </c>
      <c r="B50" s="9" t="str">
        <f aca="false">INDEX('Taxonomy and Risk'!$A$5:$A$64,MATCH($A50,'Taxonomy and Risk'!$P$5:$P$64,0))</f>
        <v>LC-04</v>
      </c>
      <c r="C50" s="10" t="str">
        <f aca="false">INDEX('Taxonomy and Risk'!$B$5:$B$64,MATCH($A50,'Taxonomy and Risk'!$P$5:$P$64,0))</f>
        <v>Load calculations</v>
      </c>
      <c r="D50" s="10" t="str">
        <f aca="false">INDEX('Taxonomy and Risk'!$C$5:$C$64,MATCH($A50,'Taxonomy and Risk'!$P$5:$P$64,0))</f>
        <v>EV charging load omitted or circuit not sized for continuous load</v>
      </c>
      <c r="E50" s="10" t="str">
        <f aca="false">INDEX('Taxonomy and Risk'!$E$5:$E$64,MATCH($A50,'Taxonomy and Risk'!$P$5:$P$64,0))</f>
        <v>Fire</v>
      </c>
      <c r="F50" s="9" t="n">
        <f aca="false">INDEX('Taxonomy and Risk'!$M$5:$M$64,MATCH($A50,'Taxonomy and Risk'!$P$5:$P$64,0))</f>
        <v>1</v>
      </c>
      <c r="G50" s="9" t="n">
        <f aca="false">INDEX('Taxonomy and Risk'!$N$5:$N$64,MATCH($A50,'Taxonomy and Risk'!$P$5:$P$64,0))</f>
        <v>4</v>
      </c>
      <c r="H50" s="10" t="str">
        <f aca="false">INDEX('Taxonomy and Risk'!$O$5:$O$64,MATCH($A50,'Taxonomy and Risk'!$P$5:$P$64,0))</f>
        <v>Tier 3: Spot check</v>
      </c>
      <c r="I50" s="10" t="str">
        <f aca="false">INDEX('Taxonomy and Risk'!$Q$5:$Q$64,MATCH($A50,'Taxonomy and Risk'!$P$5:$P$64,0))</f>
        <v>220.57; 625.40; 625.41</v>
      </c>
      <c r="J50" s="10" t="str">
        <f aca="false">INDEX('Taxonomy and Risk'!$J$5:$J$64,MATCH($A50,'Taxonomy and Risk'!$P$5:$P$64,0))</f>
        <v>None found</v>
      </c>
    </row>
    <row r="51" customFormat="false" ht="23.85" hidden="false" customHeight="false" outlineLevel="0" collapsed="false">
      <c r="A51" s="9" t="n">
        <v>47</v>
      </c>
      <c r="B51" s="9" t="str">
        <f aca="false">INDEX('Taxonomy and Risk'!$A$5:$A$64,MATCH($A51,'Taxonomy and Risk'!$P$5:$P$64,0))</f>
        <v>LC-05</v>
      </c>
      <c r="C51" s="10" t="str">
        <f aca="false">INDEX('Taxonomy and Risk'!$B$5:$B$64,MATCH($A51,'Taxonomy and Risk'!$P$5:$P$64,0))</f>
        <v>Load calculations</v>
      </c>
      <c r="D51" s="10" t="str">
        <f aca="false">INDEX('Taxonomy and Risk'!$C$5:$C$64,MATCH($A51,'Taxonomy and Risk'!$P$5:$P$64,0))</f>
        <v>Energy management system used to reduce load without listing or settings</v>
      </c>
      <c r="E51" s="10" t="str">
        <f aca="false">INDEX('Taxonomy and Risk'!$E$5:$E$64,MATCH($A51,'Taxonomy and Risk'!$P$5:$P$64,0))</f>
        <v>Fire</v>
      </c>
      <c r="F51" s="9" t="n">
        <f aca="false">INDEX('Taxonomy and Risk'!$M$5:$M$64,MATCH($A51,'Taxonomy and Risk'!$P$5:$P$64,0))</f>
        <v>1</v>
      </c>
      <c r="G51" s="9" t="n">
        <f aca="false">INDEX('Taxonomy and Risk'!$N$5:$N$64,MATCH($A51,'Taxonomy and Risk'!$P$5:$P$64,0))</f>
        <v>4</v>
      </c>
      <c r="H51" s="10" t="str">
        <f aca="false">INDEX('Taxonomy and Risk'!$O$5:$O$64,MATCH($A51,'Taxonomy and Risk'!$P$5:$P$64,0))</f>
        <v>Tier 3: Spot check</v>
      </c>
      <c r="I51" s="10" t="str">
        <f aca="false">INDEX('Taxonomy and Risk'!$Q$5:$Q$64,MATCH($A51,'Taxonomy and Risk'!$P$5:$P$64,0))</f>
        <v>220.70; 750.30; 625.42</v>
      </c>
      <c r="J51" s="10" t="str">
        <f aca="false">INDEX('Taxonomy and Risk'!$J$5:$J$64,MATCH($A51,'Taxonomy and Risk'!$P$5:$P$64,0))</f>
        <v>None found</v>
      </c>
    </row>
    <row r="52" customFormat="false" ht="15" hidden="false" customHeight="false" outlineLevel="0" collapsed="false">
      <c r="A52" s="9" t="n">
        <v>48</v>
      </c>
      <c r="B52" s="9" t="str">
        <f aca="false">INDEX('Taxonomy and Risk'!$A$5:$A$64,MATCH($A52,'Taxonomy and Risk'!$P$5:$P$64,0))</f>
        <v>LC-06</v>
      </c>
      <c r="C52" s="10" t="str">
        <f aca="false">INDEX('Taxonomy and Risk'!$B$5:$B$64,MATCH($A52,'Taxonomy and Risk'!$P$5:$P$64,0))</f>
        <v>Load calculations</v>
      </c>
      <c r="D52" s="10" t="str">
        <f aca="false">INDEX('Taxonomy and Risk'!$C$5:$C$64,MATCH($A52,'Taxonomy and Risk'!$P$5:$P$64,0))</f>
        <v>Multifamily optional calculation misapplied</v>
      </c>
      <c r="E52" s="10" t="str">
        <f aca="false">INDEX('Taxonomy and Risk'!$E$5:$E$64,MATCH($A52,'Taxonomy and Risk'!$P$5:$P$64,0))</f>
        <v>Fire</v>
      </c>
      <c r="F52" s="9" t="n">
        <f aca="false">INDEX('Taxonomy and Risk'!$M$5:$M$64,MATCH($A52,'Taxonomy and Risk'!$P$5:$P$64,0))</f>
        <v>1</v>
      </c>
      <c r="G52" s="9" t="n">
        <f aca="false">INDEX('Taxonomy and Risk'!$N$5:$N$64,MATCH($A52,'Taxonomy and Risk'!$P$5:$P$64,0))</f>
        <v>4</v>
      </c>
      <c r="H52" s="10" t="str">
        <f aca="false">INDEX('Taxonomy and Risk'!$O$5:$O$64,MATCH($A52,'Taxonomy and Risk'!$P$5:$P$64,0))</f>
        <v>Tier 3: Spot check</v>
      </c>
      <c r="I52" s="10" t="str">
        <f aca="false">INDEX('Taxonomy and Risk'!$Q$5:$Q$64,MATCH($A52,'Taxonomy and Risk'!$P$5:$P$64,0))</f>
        <v>220.84</v>
      </c>
      <c r="J52" s="10" t="str">
        <f aca="false">INDEX('Taxonomy and Risk'!$J$5:$J$64,MATCH($A52,'Taxonomy and Risk'!$P$5:$P$64,0))</f>
        <v>None found</v>
      </c>
    </row>
    <row r="53" customFormat="false" ht="23.85" hidden="false" customHeight="false" outlineLevel="0" collapsed="false">
      <c r="A53" s="9" t="n">
        <v>49</v>
      </c>
      <c r="B53" s="9" t="str">
        <f aca="false">INDEX('Taxonomy and Risk'!$A$5:$A$64,MATCH($A53,'Taxonomy and Risk'!$P$5:$P$64,0))</f>
        <v>EM-06</v>
      </c>
      <c r="C53" s="10" t="str">
        <f aca="false">INDEX('Taxonomy and Risk'!$B$5:$B$64,MATCH($A53,'Taxonomy and Risk'!$P$5:$P$64,0))</f>
        <v>Emergency and standby</v>
      </c>
      <c r="D53" s="10" t="str">
        <f aca="false">INDEX('Taxonomy and Risk'!$C$5:$C$64,MATCH($A53,'Taxonomy and Risk'!$P$5:$P$64,0))</f>
        <v>Optional standby with automatic transfer sized without a load calculation</v>
      </c>
      <c r="E53" s="10" t="str">
        <f aca="false">INDEX('Taxonomy and Risk'!$E$5:$E$64,MATCH($A53,'Taxonomy and Risk'!$P$5:$P$64,0))</f>
        <v>Equipment</v>
      </c>
      <c r="F53" s="9" t="n">
        <f aca="false">INDEX('Taxonomy and Risk'!$M$5:$M$64,MATCH($A53,'Taxonomy and Risk'!$P$5:$P$64,0))</f>
        <v>2</v>
      </c>
      <c r="G53" s="9" t="n">
        <f aca="false">INDEX('Taxonomy and Risk'!$N$5:$N$64,MATCH($A53,'Taxonomy and Risk'!$P$5:$P$64,0))</f>
        <v>4</v>
      </c>
      <c r="H53" s="10" t="str">
        <f aca="false">INDEX('Taxonomy and Risk'!$O$5:$O$64,MATCH($A53,'Taxonomy and Risk'!$P$5:$P$64,0))</f>
        <v>Tier 3: Spot check</v>
      </c>
      <c r="I53" s="10" t="str">
        <f aca="false">INDEX('Taxonomy and Risk'!$Q$5:$Q$64,MATCH($A53,'Taxonomy and Risk'!$P$5:$P$64,0))</f>
        <v>702.4(B)</v>
      </c>
      <c r="J53" s="10" t="str">
        <f aca="false">INDEX('Taxonomy and Risk'!$J$5:$J$64,MATCH($A53,'Taxonomy and Risk'!$P$5:$P$64,0))</f>
        <v>S5</v>
      </c>
    </row>
    <row r="54" customFormat="false" ht="23.85" hidden="false" customHeight="false" outlineLevel="0" collapsed="false">
      <c r="A54" s="9" t="n">
        <v>50</v>
      </c>
      <c r="B54" s="9" t="str">
        <f aca="false">INDEX('Taxonomy and Risk'!$A$5:$A$64,MATCH($A54,'Taxonomy and Risk'!$P$5:$P$64,0))</f>
        <v>LC-03</v>
      </c>
      <c r="C54" s="10" t="str">
        <f aca="false">INDEX('Taxonomy and Risk'!$B$5:$B$64,MATCH($A54,'Taxonomy and Risk'!$P$5:$P$64,0))</f>
        <v>Load calculations</v>
      </c>
      <c r="D54" s="10" t="str">
        <f aca="false">INDEX('Taxonomy and Risk'!$C$5:$C$64,MATCH($A54,'Taxonomy and Risk'!$P$5:$P$64,0))</f>
        <v>Special loads (sign, track, show window) not included</v>
      </c>
      <c r="E54" s="10" t="str">
        <f aca="false">INDEX('Taxonomy and Risk'!$E$5:$E$64,MATCH($A54,'Taxonomy and Risk'!$P$5:$P$64,0))</f>
        <v>Equipment</v>
      </c>
      <c r="F54" s="9" t="n">
        <f aca="false">INDEX('Taxonomy and Risk'!$M$5:$M$64,MATCH($A54,'Taxonomy and Risk'!$P$5:$P$64,0))</f>
        <v>2</v>
      </c>
      <c r="G54" s="9" t="n">
        <f aca="false">INDEX('Taxonomy and Risk'!$N$5:$N$64,MATCH($A54,'Taxonomy and Risk'!$P$5:$P$64,0))</f>
        <v>4</v>
      </c>
      <c r="H54" s="10" t="str">
        <f aca="false">INDEX('Taxonomy and Risk'!$O$5:$O$64,MATCH($A54,'Taxonomy and Risk'!$P$5:$P$64,0))</f>
        <v>Tier 3: Spot check</v>
      </c>
      <c r="I54" s="10" t="str">
        <f aca="false">INDEX('Taxonomy and Risk'!$Q$5:$Q$64,MATCH($A54,'Taxonomy and Risk'!$P$5:$P$64,0))</f>
        <v>600.5(A); 220.14(F); 220.46</v>
      </c>
      <c r="J54" s="10" t="str">
        <f aca="false">INDEX('Taxonomy and Risk'!$J$5:$J$64,MATCH($A54,'Taxonomy and Risk'!$P$5:$P$64,0))</f>
        <v>S5</v>
      </c>
    </row>
    <row r="55" customFormat="false" ht="23.85" hidden="false" customHeight="false" outlineLevel="0" collapsed="false">
      <c r="A55" s="9" t="n">
        <v>51</v>
      </c>
      <c r="B55" s="9" t="str">
        <f aca="false">INDEX('Taxonomy and Risk'!$A$5:$A$64,MATCH($A55,'Taxonomy and Risk'!$P$5:$P$64,0))</f>
        <v>GD-02</v>
      </c>
      <c r="C55" s="10" t="str">
        <f aca="false">INDEX('Taxonomy and Risk'!$B$5:$B$64,MATCH($A55,'Taxonomy and Risk'!$P$5:$P$64,0))</f>
        <v>General documentation</v>
      </c>
      <c r="D55" s="10" t="str">
        <f aca="false">INDEX('Taxonomy and Risk'!$C$5:$C$64,MATCH($A55,'Taxonomy and Risk'!$P$5:$P$64,0))</f>
        <v>One-line diagram missing required ratings or replaced by a riser diagram</v>
      </c>
      <c r="E55" s="10" t="str">
        <f aca="false">INDEX('Taxonomy and Risk'!$E$5:$E$64,MATCH($A55,'Taxonomy and Risk'!$P$5:$P$64,0))</f>
        <v>Administrative</v>
      </c>
      <c r="F55" s="9" t="n">
        <f aca="false">INDEX('Taxonomy and Risk'!$M$5:$M$64,MATCH($A55,'Taxonomy and Risk'!$P$5:$P$64,0))</f>
        <v>4</v>
      </c>
      <c r="G55" s="9" t="n">
        <f aca="false">INDEX('Taxonomy and Risk'!$N$5:$N$64,MATCH($A55,'Taxonomy and Risk'!$P$5:$P$64,0))</f>
        <v>4</v>
      </c>
      <c r="H55" s="10" t="str">
        <f aca="false">INDEX('Taxonomy and Risk'!$O$5:$O$64,MATCH($A55,'Taxonomy and Risk'!$P$5:$P$64,0))</f>
        <v>Tier 3: Spot check</v>
      </c>
      <c r="I55" s="10" t="str">
        <f aca="false">INDEX('Taxonomy and Risk'!$Q$5:$Q$64,MATCH($A55,'Taxonomy and Risk'!$P$5:$P$64,0))</f>
        <v>None (submittal requirement)</v>
      </c>
      <c r="J55" s="10" t="str">
        <f aca="false">INDEX('Taxonomy and Risk'!$J$5:$J$64,MATCH($A55,'Taxonomy and Risk'!$P$5:$P$64,0))</f>
        <v>S4, S5, S6, S10</v>
      </c>
    </row>
    <row r="56" customFormat="false" ht="23.85" hidden="false" customHeight="false" outlineLevel="0" collapsed="false">
      <c r="A56" s="9" t="n">
        <v>52</v>
      </c>
      <c r="B56" s="9" t="str">
        <f aca="false">INDEX('Taxonomy and Risk'!$A$5:$A$64,MATCH($A56,'Taxonomy and Risk'!$P$5:$P$64,0))</f>
        <v>GD-01</v>
      </c>
      <c r="C56" s="10" t="str">
        <f aca="false">INDEX('Taxonomy and Risk'!$B$5:$B$64,MATCH($A56,'Taxonomy and Risk'!$P$5:$P$64,0))</f>
        <v>General documentation</v>
      </c>
      <c r="D56" s="10" t="str">
        <f aca="false">INDEX('Taxonomy and Risk'!$C$5:$C$64,MATCH($A56,'Taxonomy and Risk'!$P$5:$P$64,0))</f>
        <v>Wrong or outdated code edition cited on plans</v>
      </c>
      <c r="E56" s="10" t="str">
        <f aca="false">INDEX('Taxonomy and Risk'!$E$5:$E$64,MATCH($A56,'Taxonomy and Risk'!$P$5:$P$64,0))</f>
        <v>Administrative</v>
      </c>
      <c r="F56" s="9" t="n">
        <f aca="false">INDEX('Taxonomy and Risk'!$M$5:$M$64,MATCH($A56,'Taxonomy and Risk'!$P$5:$P$64,0))</f>
        <v>3</v>
      </c>
      <c r="G56" s="9" t="n">
        <f aca="false">INDEX('Taxonomy and Risk'!$N$5:$N$64,MATCH($A56,'Taxonomy and Risk'!$P$5:$P$64,0))</f>
        <v>3</v>
      </c>
      <c r="H56" s="10" t="str">
        <f aca="false">INDEX('Taxonomy and Risk'!$O$5:$O$64,MATCH($A56,'Taxonomy and Risk'!$P$5:$P$64,0))</f>
        <v>Tier 3: Spot check</v>
      </c>
      <c r="I56" s="10" t="str">
        <f aca="false">INDEX('Taxonomy and Risk'!$Q$5:$Q$64,MATCH($A56,'Taxonomy and Risk'!$P$5:$P$64,0))</f>
        <v>90.4 (enforcement)</v>
      </c>
      <c r="J56" s="10" t="str">
        <f aca="false">INDEX('Taxonomy and Risk'!$J$5:$J$64,MATCH($A56,'Taxonomy and Risk'!$P$5:$P$64,0))</f>
        <v>S10, S11</v>
      </c>
    </row>
    <row r="57" customFormat="false" ht="15" hidden="false" customHeight="false" outlineLevel="0" collapsed="false">
      <c r="A57" s="9" t="n">
        <v>53</v>
      </c>
      <c r="B57" s="9" t="str">
        <f aca="false">INDEX('Taxonomy and Risk'!$A$5:$A$64,MATCH($A57,'Taxonomy and Risk'!$P$5:$P$64,0))</f>
        <v>PV-13</v>
      </c>
      <c r="C57" s="10" t="str">
        <f aca="false">INDEX('Taxonomy and Risk'!$B$5:$B$64,MATCH($A57,'Taxonomy and Risk'!$P$5:$P$64,0))</f>
        <v>PV</v>
      </c>
      <c r="D57" s="10" t="str">
        <f aca="false">INDEX('Taxonomy and Risk'!$C$5:$C$64,MATCH($A57,'Taxonomy and Risk'!$P$5:$P$64,0))</f>
        <v>Energy Code PV sizing requirement not met on new construction</v>
      </c>
      <c r="E57" s="10" t="str">
        <f aca="false">INDEX('Taxonomy and Risk'!$E$5:$E$64,MATCH($A57,'Taxonomy and Risk'!$P$5:$P$64,0))</f>
        <v>Administrative</v>
      </c>
      <c r="F57" s="9" t="n">
        <f aca="false">INDEX('Taxonomy and Risk'!$M$5:$M$64,MATCH($A57,'Taxonomy and Risk'!$P$5:$P$64,0))</f>
        <v>3</v>
      </c>
      <c r="G57" s="9" t="n">
        <f aca="false">INDEX('Taxonomy and Risk'!$N$5:$N$64,MATCH($A57,'Taxonomy and Risk'!$P$5:$P$64,0))</f>
        <v>3</v>
      </c>
      <c r="H57" s="10" t="str">
        <f aca="false">INDEX('Taxonomy and Risk'!$O$5:$O$64,MATCH($A57,'Taxonomy and Risk'!$P$5:$P$64,0))</f>
        <v>Tier 3: Spot check</v>
      </c>
      <c r="I57" s="10" t="str">
        <f aca="false">INDEX('Taxonomy and Risk'!$Q$5:$Q$64,MATCH($A57,'Taxonomy and Risk'!$P$5:$P$64,0))</f>
        <v>None (energy code item)</v>
      </c>
      <c r="J57" s="10" t="str">
        <f aca="false">INDEX('Taxonomy and Risk'!$J$5:$J$64,MATCH($A57,'Taxonomy and Risk'!$P$5:$P$64,0))</f>
        <v>S1, S2</v>
      </c>
    </row>
    <row r="58" customFormat="false" ht="23.85" hidden="false" customHeight="false" outlineLevel="0" collapsed="false">
      <c r="A58" s="9" t="n">
        <v>54</v>
      </c>
      <c r="B58" s="9" t="str">
        <f aca="false">INDEX('Taxonomy and Risk'!$A$5:$A$64,MATCH($A58,'Taxonomy and Risk'!$P$5:$P$64,0))</f>
        <v>ES-07</v>
      </c>
      <c r="C58" s="10" t="str">
        <f aca="false">INDEX('Taxonomy and Risk'!$B$5:$B$64,MATCH($A58,'Taxonomy and Risk'!$P$5:$P$64,0))</f>
        <v>Energy storage</v>
      </c>
      <c r="D58" s="10" t="str">
        <f aca="false">INDEX('Taxonomy and Risk'!$C$5:$C$64,MATCH($A58,'Taxonomy and Risk'!$P$5:$P$64,0))</f>
        <v>Battery storage or battery-ready requirements not shown for new dwellings</v>
      </c>
      <c r="E58" s="10" t="str">
        <f aca="false">INDEX('Taxonomy and Risk'!$E$5:$E$64,MATCH($A58,'Taxonomy and Risk'!$P$5:$P$64,0))</f>
        <v>Administrative</v>
      </c>
      <c r="F58" s="9" t="n">
        <f aca="false">INDEX('Taxonomy and Risk'!$M$5:$M$64,MATCH($A58,'Taxonomy and Risk'!$P$5:$P$64,0))</f>
        <v>3</v>
      </c>
      <c r="G58" s="9" t="n">
        <f aca="false">INDEX('Taxonomy and Risk'!$N$5:$N$64,MATCH($A58,'Taxonomy and Risk'!$P$5:$P$64,0))</f>
        <v>3</v>
      </c>
      <c r="H58" s="10" t="str">
        <f aca="false">INDEX('Taxonomy and Risk'!$O$5:$O$64,MATCH($A58,'Taxonomy and Risk'!$P$5:$P$64,0))</f>
        <v>Tier 3: Spot check</v>
      </c>
      <c r="I58" s="10" t="str">
        <f aca="false">INDEX('Taxonomy and Risk'!$Q$5:$Q$64,MATCH($A58,'Taxonomy and Risk'!$P$5:$P$64,0))</f>
        <v>None (energy code item)</v>
      </c>
      <c r="J58" s="10" t="str">
        <f aca="false">INDEX('Taxonomy and Risk'!$J$5:$J$64,MATCH($A58,'Taxonomy and Risk'!$P$5:$P$64,0))</f>
        <v>S1, S2</v>
      </c>
    </row>
    <row r="59" customFormat="false" ht="23.85" hidden="false" customHeight="false" outlineLevel="0" collapsed="false">
      <c r="A59" s="9" t="n">
        <v>55</v>
      </c>
      <c r="B59" s="9" t="str">
        <f aca="false">INDEX('Taxonomy and Risk'!$A$5:$A$64,MATCH($A59,'Taxonomy and Risk'!$P$5:$P$64,0))</f>
        <v>SD-11</v>
      </c>
      <c r="C59" s="10" t="str">
        <f aca="false">INDEX('Taxonomy and Risk'!$B$5:$B$64,MATCH($A59,'Taxonomy and Risk'!$P$5:$P$64,0))</f>
        <v>Service and distribution</v>
      </c>
      <c r="D59" s="10" t="str">
        <f aca="false">INDEX('Taxonomy and Risk'!$C$5:$C$64,MATCH($A59,'Taxonomy and Risk'!$P$5:$P$64,0))</f>
        <v>Surge protection for dwelling services not shown</v>
      </c>
      <c r="E59" s="10" t="str">
        <f aca="false">INDEX('Taxonomy and Risk'!$E$5:$E$64,MATCH($A59,'Taxonomy and Risk'!$P$5:$P$64,0))</f>
        <v>Equipment</v>
      </c>
      <c r="F59" s="9" t="n">
        <f aca="false">INDEX('Taxonomy and Risk'!$M$5:$M$64,MATCH($A59,'Taxonomy and Risk'!$P$5:$P$64,0))</f>
        <v>1</v>
      </c>
      <c r="G59" s="9" t="n">
        <f aca="false">INDEX('Taxonomy and Risk'!$N$5:$N$64,MATCH($A59,'Taxonomy and Risk'!$P$5:$P$64,0))</f>
        <v>2</v>
      </c>
      <c r="H59" s="10" t="str">
        <f aca="false">INDEX('Taxonomy and Risk'!$O$5:$O$64,MATCH($A59,'Taxonomy and Risk'!$P$5:$P$64,0))</f>
        <v>Tier 3: Spot check</v>
      </c>
      <c r="I59" s="10" t="str">
        <f aca="false">INDEX('Taxonomy and Risk'!$Q$5:$Q$64,MATCH($A59,'Taxonomy and Risk'!$P$5:$P$64,0))</f>
        <v>230.67</v>
      </c>
      <c r="J59" s="10" t="str">
        <f aca="false">INDEX('Taxonomy and Risk'!$J$5:$J$64,MATCH($A59,'Taxonomy and Risk'!$P$5:$P$64,0))</f>
        <v>None found</v>
      </c>
    </row>
    <row r="60" customFormat="false" ht="23.85" hidden="false" customHeight="false" outlineLevel="0" collapsed="false">
      <c r="A60" s="9" t="n">
        <v>56</v>
      </c>
      <c r="B60" s="9" t="str">
        <f aca="false">INDEX('Taxonomy and Risk'!$A$5:$A$64,MATCH($A60,'Taxonomy and Risk'!$P$5:$P$64,0))</f>
        <v>GD-03</v>
      </c>
      <c r="C60" s="10" t="str">
        <f aca="false">INDEX('Taxonomy and Risk'!$B$5:$B$64,MATCH($A60,'Taxonomy and Risk'!$P$5:$P$64,0))</f>
        <v>General documentation</v>
      </c>
      <c r="D60" s="10" t="str">
        <f aca="false">INDEX('Taxonomy and Risk'!$C$5:$C$64,MATCH($A60,'Taxonomy and Risk'!$P$5:$P$64,0))</f>
        <v>Resubmittal response letter does not address each correction</v>
      </c>
      <c r="E60" s="10" t="str">
        <f aca="false">INDEX('Taxonomy and Risk'!$E$5:$E$64,MATCH($A60,'Taxonomy and Risk'!$P$5:$P$64,0))</f>
        <v>Administrative</v>
      </c>
      <c r="F60" s="9" t="n">
        <f aca="false">INDEX('Taxonomy and Risk'!$M$5:$M$64,MATCH($A60,'Taxonomy and Risk'!$P$5:$P$64,0))</f>
        <v>2</v>
      </c>
      <c r="G60" s="9" t="n">
        <f aca="false">INDEX('Taxonomy and Risk'!$N$5:$N$64,MATCH($A60,'Taxonomy and Risk'!$P$5:$P$64,0))</f>
        <v>2</v>
      </c>
      <c r="H60" s="10" t="str">
        <f aca="false">INDEX('Taxonomy and Risk'!$O$5:$O$64,MATCH($A60,'Taxonomy and Risk'!$P$5:$P$64,0))</f>
        <v>Tier 3: Spot check</v>
      </c>
      <c r="I60" s="10" t="str">
        <f aca="false">INDEX('Taxonomy and Risk'!$Q$5:$Q$64,MATCH($A60,'Taxonomy and Risk'!$P$5:$P$64,0))</f>
        <v>None (process item)</v>
      </c>
      <c r="J60" s="10" t="str">
        <f aca="false">INDEX('Taxonomy and Risk'!$J$5:$J$64,MATCH($A60,'Taxonomy and Risk'!$P$5:$P$64,0))</f>
        <v>S4</v>
      </c>
    </row>
    <row r="61" customFormat="false" ht="23.85" hidden="false" customHeight="false" outlineLevel="0" collapsed="false">
      <c r="A61" s="9" t="n">
        <v>57</v>
      </c>
      <c r="B61" s="9" t="str">
        <f aca="false">INDEX('Taxonomy and Risk'!$A$5:$A$64,MATCH($A61,'Taxonomy and Risk'!$P$5:$P$64,0))</f>
        <v>EM-01</v>
      </c>
      <c r="C61" s="10" t="str">
        <f aca="false">INDEX('Taxonomy and Risk'!$B$5:$B$64,MATCH($A61,'Taxonomy and Risk'!$P$5:$P$64,0))</f>
        <v>Emergency and standby</v>
      </c>
      <c r="D61" s="10" t="str">
        <f aca="false">INDEX('Taxonomy and Risk'!$C$5:$C$64,MATCH($A61,'Taxonomy and Risk'!$P$5:$P$64,0))</f>
        <v>Emergency or standby system not classified by article (700, 701, or 702)</v>
      </c>
      <c r="E61" s="10" t="str">
        <f aca="false">INDEX('Taxonomy and Risk'!$E$5:$E$64,MATCH($A61,'Taxonomy and Risk'!$P$5:$P$64,0))</f>
        <v>Administrative</v>
      </c>
      <c r="F61" s="9" t="n">
        <f aca="false">INDEX('Taxonomy and Risk'!$M$5:$M$64,MATCH($A61,'Taxonomy and Risk'!$P$5:$P$64,0))</f>
        <v>2</v>
      </c>
      <c r="G61" s="9" t="n">
        <f aca="false">INDEX('Taxonomy and Risk'!$N$5:$N$64,MATCH($A61,'Taxonomy and Risk'!$P$5:$P$64,0))</f>
        <v>2</v>
      </c>
      <c r="H61" s="10" t="str">
        <f aca="false">INDEX('Taxonomy and Risk'!$O$5:$O$64,MATCH($A61,'Taxonomy and Risk'!$P$5:$P$64,0))</f>
        <v>Tier 3: Spot check</v>
      </c>
      <c r="I61" s="10" t="str">
        <f aca="false">INDEX('Taxonomy and Risk'!$Q$5:$Q$64,MATCH($A61,'Taxonomy and Risk'!$P$5:$P$64,0))</f>
        <v>700; 701; 702</v>
      </c>
      <c r="J61" s="10" t="str">
        <f aca="false">INDEX('Taxonomy and Risk'!$J$5:$J$64,MATCH($A61,'Taxonomy and Risk'!$P$5:$P$64,0))</f>
        <v>S4</v>
      </c>
    </row>
    <row r="62" customFormat="false" ht="23.85" hidden="false" customHeight="false" outlineLevel="0" collapsed="false">
      <c r="A62" s="9" t="n">
        <v>58</v>
      </c>
      <c r="B62" s="9" t="str">
        <f aca="false">INDEX('Taxonomy and Risk'!$A$5:$A$64,MATCH($A62,'Taxonomy and Risk'!$P$5:$P$64,0))</f>
        <v>EM-10</v>
      </c>
      <c r="C62" s="10" t="str">
        <f aca="false">INDEX('Taxonomy and Risk'!$B$5:$B$64,MATCH($A62,'Taxonomy and Risk'!$P$5:$P$64,0))</f>
        <v>Emergency and standby</v>
      </c>
      <c r="D62" s="10" t="str">
        <f aca="false">INDEX('Taxonomy and Risk'!$C$5:$C$64,MATCH($A62,'Taxonomy and Risk'!$P$5:$P$64,0))</f>
        <v>Signs identifying on-site power sources missing</v>
      </c>
      <c r="E62" s="10" t="str">
        <f aca="false">INDEX('Taxonomy and Risk'!$E$5:$E$64,MATCH($A62,'Taxonomy and Risk'!$P$5:$P$64,0))</f>
        <v>Administrative</v>
      </c>
      <c r="F62" s="9" t="n">
        <f aca="false">INDEX('Taxonomy and Risk'!$M$5:$M$64,MATCH($A62,'Taxonomy and Risk'!$P$5:$P$64,0))</f>
        <v>1</v>
      </c>
      <c r="G62" s="9" t="n">
        <f aca="false">INDEX('Taxonomy and Risk'!$N$5:$N$64,MATCH($A62,'Taxonomy and Risk'!$P$5:$P$64,0))</f>
        <v>1</v>
      </c>
      <c r="H62" s="10" t="str">
        <f aca="false">INDEX('Taxonomy and Risk'!$O$5:$O$64,MATCH($A62,'Taxonomy and Risk'!$P$5:$P$64,0))</f>
        <v>Tier 3: Spot check</v>
      </c>
      <c r="I62" s="10" t="str">
        <f aca="false">INDEX('Taxonomy and Risk'!$Q$5:$Q$64,MATCH($A62,'Taxonomy and Risk'!$P$5:$P$64,0))</f>
        <v>700.7; 701.7; 702.7</v>
      </c>
      <c r="J62" s="10" t="str">
        <f aca="false">INDEX('Taxonomy and Risk'!$J$5:$J$64,MATCH($A62,'Taxonomy and Risk'!$P$5:$P$64,0))</f>
        <v>None found</v>
      </c>
    </row>
    <row r="63" customFormat="false" ht="23.85" hidden="false" customHeight="false" outlineLevel="0" collapsed="false">
      <c r="A63" s="9" t="n">
        <v>59</v>
      </c>
      <c r="B63" s="9" t="str">
        <f aca="false">INDEX('Taxonomy and Risk'!$A$5:$A$64,MATCH($A63,'Taxonomy and Risk'!$P$5:$P$64,0))</f>
        <v>LC-07</v>
      </c>
      <c r="C63" s="10" t="str">
        <f aca="false">INDEX('Taxonomy and Risk'!$B$5:$B$64,MATCH($A63,'Taxonomy and Risk'!$P$5:$P$64,0))</f>
        <v>Load calculations</v>
      </c>
      <c r="D63" s="10" t="str">
        <f aca="false">INDEX('Taxonomy and Risk'!$C$5:$C$64,MATCH($A63,'Taxonomy and Risk'!$P$5:$P$64,0))</f>
        <v>EV capable or EV ready requirements not shown</v>
      </c>
      <c r="E63" s="10" t="str">
        <f aca="false">INDEX('Taxonomy and Risk'!$E$5:$E$64,MATCH($A63,'Taxonomy and Risk'!$P$5:$P$64,0))</f>
        <v>Administrative</v>
      </c>
      <c r="F63" s="9" t="n">
        <f aca="false">INDEX('Taxonomy and Risk'!$M$5:$M$64,MATCH($A63,'Taxonomy and Risk'!$P$5:$P$64,0))</f>
        <v>1</v>
      </c>
      <c r="G63" s="9" t="n">
        <f aca="false">INDEX('Taxonomy and Risk'!$N$5:$N$64,MATCH($A63,'Taxonomy and Risk'!$P$5:$P$64,0))</f>
        <v>1</v>
      </c>
      <c r="H63" s="10" t="str">
        <f aca="false">INDEX('Taxonomy and Risk'!$O$5:$O$64,MATCH($A63,'Taxonomy and Risk'!$P$5:$P$64,0))</f>
        <v>Tier 3: Spot check</v>
      </c>
      <c r="I63" s="10" t="str">
        <f aca="false">INDEX('Taxonomy and Risk'!$Q$5:$Q$64,MATCH($A63,'Taxonomy and Risk'!$P$5:$P$64,0))</f>
        <v>None (green building code item)</v>
      </c>
      <c r="J63" s="10" t="str">
        <f aca="false">INDEX('Taxonomy and Risk'!$J$5:$J$64,MATCH($A63,'Taxonomy and Risk'!$P$5:$P$64,0))</f>
        <v>None found</v>
      </c>
    </row>
    <row r="64" customFormat="false" ht="15" hidden="false" customHeight="false" outlineLevel="0" collapsed="false">
      <c r="A64" s="9" t="n">
        <v>60</v>
      </c>
      <c r="B64" s="9" t="str">
        <f aca="false">INDEX('Taxonomy and Risk'!$A$5:$A$64,MATCH($A64,'Taxonomy and Risk'!$P$5:$P$64,0))</f>
        <v>LC-08</v>
      </c>
      <c r="C64" s="10" t="str">
        <f aca="false">INDEX('Taxonomy and Risk'!$B$5:$B$64,MATCH($A64,'Taxonomy and Risk'!$P$5:$P$64,0))</f>
        <v>Load calculations</v>
      </c>
      <c r="D64" s="10" t="str">
        <f aca="false">INDEX('Taxonomy and Risk'!$C$5:$C$64,MATCH($A64,'Taxonomy and Risk'!$P$5:$P$64,0))</f>
        <v>Electric-ready requirements (heat pump, cooktop, dryer) not shown</v>
      </c>
      <c r="E64" s="10" t="str">
        <f aca="false">INDEX('Taxonomy and Risk'!$E$5:$E$64,MATCH($A64,'Taxonomy and Risk'!$P$5:$P$64,0))</f>
        <v>Administrative</v>
      </c>
      <c r="F64" s="9" t="n">
        <f aca="false">INDEX('Taxonomy and Risk'!$M$5:$M$64,MATCH($A64,'Taxonomy and Risk'!$P$5:$P$64,0))</f>
        <v>1</v>
      </c>
      <c r="G64" s="9" t="n">
        <f aca="false">INDEX('Taxonomy and Risk'!$N$5:$N$64,MATCH($A64,'Taxonomy and Risk'!$P$5:$P$64,0))</f>
        <v>1</v>
      </c>
      <c r="H64" s="10" t="str">
        <f aca="false">INDEX('Taxonomy and Risk'!$O$5:$O$64,MATCH($A64,'Taxonomy and Risk'!$P$5:$P$64,0))</f>
        <v>Tier 3: Spot check</v>
      </c>
      <c r="I64" s="10" t="str">
        <f aca="false">INDEX('Taxonomy and Risk'!$Q$5:$Q$64,MATCH($A64,'Taxonomy and Risk'!$P$5:$P$64,0))</f>
        <v>None (energy code item)</v>
      </c>
      <c r="J64" s="10" t="str">
        <f aca="false">INDEX('Taxonomy and Risk'!$J$5:$J$64,MATCH($A64,'Taxonomy and Risk'!$P$5:$P$64,0))</f>
        <v>None found</v>
      </c>
    </row>
  </sheetData>
  <conditionalFormatting sqref="H5:H64">
    <cfRule type="expression" priority="2" aboveAverage="0" equalAverage="0" bottom="0" percent="0" rank="0" text="" dxfId="9">
      <formula>LEFT(H5,6)="Tier 1"</formula>
    </cfRule>
    <cfRule type="expression" priority="3" aboveAverage="0" equalAverage="0" bottom="0" percent="0" rank="0" text="" dxfId="10">
      <formula>LEFT(H5,6)="Tier 2"</formula>
    </cfRule>
    <cfRule type="expression" priority="4" aboveAverage="0" equalAverage="0" bottom="0" percent="0" rank="0" text="" dxfId="11">
      <formula>LEFT(H5,6)="Tier 3"</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3"/>
    <col collapsed="false" customWidth="true" hidden="false" outlineLevel="0" max="3" min="3" style="0" width="12"/>
    <col collapsed="false" customWidth="true" hidden="false" outlineLevel="0" max="4" min="4" style="0" width="14"/>
    <col collapsed="false" customWidth="true" hidden="false" outlineLevel="0" max="6" min="5" style="0" width="15"/>
    <col collapsed="false" customWidth="true" hidden="false" outlineLevel="0" max="7" min="7" style="0" width="18"/>
  </cols>
  <sheetData>
    <row r="1" customFormat="false" ht="17.35" hidden="false" customHeight="false" outlineLevel="0" collapsed="false">
      <c r="A1" s="6" t="s">
        <v>368</v>
      </c>
    </row>
    <row r="3" customFormat="false" ht="23.85" hidden="false" customHeight="false" outlineLevel="0" collapsed="false">
      <c r="A3" s="8" t="s">
        <v>30</v>
      </c>
      <c r="B3" s="8" t="s">
        <v>369</v>
      </c>
      <c r="C3" s="8" t="s">
        <v>370</v>
      </c>
      <c r="D3" s="8" t="s">
        <v>371</v>
      </c>
      <c r="E3" s="8" t="s">
        <v>372</v>
      </c>
      <c r="F3" s="8" t="s">
        <v>373</v>
      </c>
      <c r="G3" s="8" t="s">
        <v>374</v>
      </c>
    </row>
    <row r="4" customFormat="false" ht="15" hidden="false" customHeight="false" outlineLevel="0" collapsed="false">
      <c r="A4" s="13" t="s">
        <v>51</v>
      </c>
      <c r="B4" s="14" t="n">
        <f aca="false">COUNTIF('Taxonomy and Risk'!$B$5:$B$64,A4)</f>
        <v>3</v>
      </c>
      <c r="C4" s="14" t="n">
        <f aca="false">COUNTIFS('Taxonomy and Risk'!$B$5:$B$64,A4,'Taxonomy and Risk'!$O$5:$O$64,Scales!$B$21)</f>
        <v>0</v>
      </c>
      <c r="D4" s="14" t="n">
        <f aca="false">COUNTIFS('Taxonomy and Risk'!$B$5:$B$64,A4,'Taxonomy and Risk'!$E$5:$E$64,"Life safety")</f>
        <v>0</v>
      </c>
      <c r="E4" s="15" t="n">
        <f aca="false">IFERROR(AVERAGEIF('Taxonomy and Risk'!$B$5:$B$64,A4,'Taxonomy and Risk'!$N$5:$N$64),0)</f>
        <v>3</v>
      </c>
      <c r="F4" s="14" t="n">
        <f aca="false">SUMPRODUCT(MAX(('Taxonomy and Risk'!$B$5:$B$64=A4)*'Taxonomy and Risk'!$N$5:$N$64))</f>
        <v>4</v>
      </c>
      <c r="G4" s="14" t="str">
        <f aca="false">COUNTIFS('Taxonomy and Risk'!$B$5:$B$64,A4,'Taxonomy and Risk'!$S$5:$S$64,"Confirmed*")&amp;" of "&amp;B4</f>
        <v>1 of 3</v>
      </c>
    </row>
    <row r="5" customFormat="false" ht="15" hidden="false" customHeight="false" outlineLevel="0" collapsed="false">
      <c r="A5" s="13" t="s">
        <v>75</v>
      </c>
      <c r="B5" s="14" t="n">
        <f aca="false">COUNTIF('Taxonomy and Risk'!$B$5:$B$64,A5)</f>
        <v>13</v>
      </c>
      <c r="C5" s="14" t="n">
        <f aca="false">COUNTIFS('Taxonomy and Risk'!$B$5:$B$64,A5,'Taxonomy and Risk'!$O$5:$O$64,Scales!$B$21)</f>
        <v>5</v>
      </c>
      <c r="D5" s="14" t="n">
        <f aca="false">COUNTIFS('Taxonomy and Risk'!$B$5:$B$64,A5,'Taxonomy and Risk'!$E$5:$E$64,"Life safety")</f>
        <v>4</v>
      </c>
      <c r="E5" s="15" t="n">
        <f aca="false">IFERROR(AVERAGEIF('Taxonomy and Risk'!$B$5:$B$64,A5,'Taxonomy and Risk'!$N$5:$N$64),0)</f>
        <v>12.6153846153846</v>
      </c>
      <c r="F5" s="14" t="n">
        <f aca="false">SUMPRODUCT(MAX(('Taxonomy and Risk'!$B$5:$B$64=A5)*'Taxonomy and Risk'!$N$5:$N$64))</f>
        <v>25</v>
      </c>
      <c r="G5" s="14" t="str">
        <f aca="false">COUNTIFS('Taxonomy and Risk'!$B$5:$B$64,A5,'Taxonomy and Risk'!$S$5:$S$64,"Confirmed*")&amp;" of "&amp;B5</f>
        <v>9 of 13</v>
      </c>
    </row>
    <row r="6" customFormat="false" ht="15" hidden="false" customHeight="false" outlineLevel="0" collapsed="false">
      <c r="A6" s="13" t="s">
        <v>146</v>
      </c>
      <c r="B6" s="14" t="n">
        <f aca="false">COUNTIF('Taxonomy and Risk'!$B$5:$B$64,A6)</f>
        <v>7</v>
      </c>
      <c r="C6" s="14" t="n">
        <f aca="false">COUNTIFS('Taxonomy and Risk'!$B$5:$B$64,A6,'Taxonomy and Risk'!$O$5:$O$64,Scales!$B$21)</f>
        <v>0</v>
      </c>
      <c r="D6" s="14" t="n">
        <f aca="false">COUNTIFS('Taxonomy and Risk'!$B$5:$B$64,A6,'Taxonomy and Risk'!$E$5:$E$64,"Life safety")</f>
        <v>1</v>
      </c>
      <c r="E6" s="15" t="n">
        <f aca="false">IFERROR(AVERAGEIF('Taxonomy and Risk'!$B$5:$B$64,A6,'Taxonomy and Risk'!$N$5:$N$64),0)</f>
        <v>7.57142857142857</v>
      </c>
      <c r="F6" s="14" t="n">
        <f aca="false">SUMPRODUCT(MAX(('Taxonomy and Risk'!$B$5:$B$64=A6)*'Taxonomy and Risk'!$N$5:$N$64))</f>
        <v>10</v>
      </c>
      <c r="G6" s="14" t="str">
        <f aca="false">COUNTIFS('Taxonomy and Risk'!$B$5:$B$64,A6,'Taxonomy and Risk'!$S$5:$S$64,"Confirmed*")&amp;" of "&amp;B6</f>
        <v>7 of 7</v>
      </c>
    </row>
    <row r="7" customFormat="false" ht="15" hidden="false" customHeight="false" outlineLevel="0" collapsed="false">
      <c r="A7" s="13" t="s">
        <v>184</v>
      </c>
      <c r="B7" s="14" t="n">
        <f aca="false">COUNTIF('Taxonomy and Risk'!$B$5:$B$64,A7)</f>
        <v>11</v>
      </c>
      <c r="C7" s="14" t="n">
        <f aca="false">COUNTIFS('Taxonomy and Risk'!$B$5:$B$64,A7,'Taxonomy and Risk'!$O$5:$O$64,Scales!$B$21)</f>
        <v>2</v>
      </c>
      <c r="D7" s="14" t="n">
        <f aca="false">COUNTIFS('Taxonomy and Risk'!$B$5:$B$64,A7,'Taxonomy and Risk'!$E$5:$E$64,"Life safety")</f>
        <v>7</v>
      </c>
      <c r="E7" s="15" t="n">
        <f aca="false">IFERROR(AVERAGEIF('Taxonomy and Risk'!$B$5:$B$64,A7,'Taxonomy and Risk'!$N$5:$N$64),0)</f>
        <v>8.63636363636364</v>
      </c>
      <c r="F7" s="14" t="n">
        <f aca="false">SUMPRODUCT(MAX(('Taxonomy and Risk'!$B$5:$B$64=A7)*'Taxonomy and Risk'!$N$5:$N$64))</f>
        <v>20</v>
      </c>
      <c r="G7" s="14" t="str">
        <f aca="false">COUNTIFS('Taxonomy and Risk'!$B$5:$B$64,A7,'Taxonomy and Risk'!$S$5:$S$64,"Confirmed*")&amp;" of "&amp;B7</f>
        <v>6 of 11</v>
      </c>
    </row>
    <row r="8" customFormat="false" ht="15" hidden="false" customHeight="false" outlineLevel="0" collapsed="false">
      <c r="A8" s="13" t="s">
        <v>242</v>
      </c>
      <c r="B8" s="14" t="n">
        <f aca="false">COUNTIF('Taxonomy and Risk'!$B$5:$B$64,A8)</f>
        <v>6</v>
      </c>
      <c r="C8" s="14" t="n">
        <f aca="false">COUNTIFS('Taxonomy and Risk'!$B$5:$B$64,A8,'Taxonomy and Risk'!$O$5:$O$64,Scales!$B$21)</f>
        <v>0</v>
      </c>
      <c r="D8" s="14" t="n">
        <f aca="false">COUNTIFS('Taxonomy and Risk'!$B$5:$B$64,A8,'Taxonomy and Risk'!$E$5:$E$64,"Life safety")</f>
        <v>5</v>
      </c>
      <c r="E8" s="15" t="n">
        <f aca="false">IFERROR(AVERAGEIF('Taxonomy and Risk'!$B$5:$B$64,A8,'Taxonomy and Risk'!$N$5:$N$64),0)</f>
        <v>10.5</v>
      </c>
      <c r="F8" s="14" t="n">
        <f aca="false">SUMPRODUCT(MAX(('Taxonomy and Risk'!$B$5:$B$64=A8)*'Taxonomy and Risk'!$N$5:$N$64))</f>
        <v>15</v>
      </c>
      <c r="G8" s="14" t="str">
        <f aca="false">COUNTIFS('Taxonomy and Risk'!$B$5:$B$64,A8,'Taxonomy and Risk'!$S$5:$S$64,"Confirmed*")&amp;" of "&amp;B8</f>
        <v>4 of 6</v>
      </c>
    </row>
    <row r="9" customFormat="false" ht="15" hidden="false" customHeight="false" outlineLevel="0" collapsed="false">
      <c r="A9" s="13" t="s">
        <v>275</v>
      </c>
      <c r="B9" s="14" t="n">
        <f aca="false">COUNTIF('Taxonomy and Risk'!$B$5:$B$64,A9)</f>
        <v>12</v>
      </c>
      <c r="C9" s="14" t="n">
        <f aca="false">COUNTIFS('Taxonomy and Risk'!$B$5:$B$64,A9,'Taxonomy and Risk'!$O$5:$O$64,Scales!$B$21)</f>
        <v>5</v>
      </c>
      <c r="D9" s="14" t="n">
        <f aca="false">COUNTIFS('Taxonomy and Risk'!$B$5:$B$64,A9,'Taxonomy and Risk'!$E$5:$E$64,"Life safety")</f>
        <v>7</v>
      </c>
      <c r="E9" s="15" t="n">
        <f aca="false">IFERROR(AVERAGEIF('Taxonomy and Risk'!$B$5:$B$64,A9,'Taxonomy and Risk'!$N$5:$N$64),0)</f>
        <v>13.1666666666667</v>
      </c>
      <c r="F9" s="14" t="n">
        <f aca="false">SUMPRODUCT(MAX(('Taxonomy and Risk'!$B$5:$B$64=A9)*'Taxonomy and Risk'!$N$5:$N$64))</f>
        <v>25</v>
      </c>
      <c r="G9" s="14" t="str">
        <f aca="false">COUNTIFS('Taxonomy and Risk'!$B$5:$B$64,A9,'Taxonomy and Risk'!$S$5:$S$64,"Confirmed*")&amp;" of "&amp;B9</f>
        <v>7 of 12</v>
      </c>
    </row>
    <row r="10" customFormat="false" ht="15" hidden="false" customHeight="false" outlineLevel="0" collapsed="false">
      <c r="A10" s="13" t="s">
        <v>331</v>
      </c>
      <c r="B10" s="14" t="n">
        <f aca="false">COUNTIF('Taxonomy and Risk'!$B$5:$B$64,A10)</f>
        <v>8</v>
      </c>
      <c r="C10" s="14" t="n">
        <f aca="false">COUNTIFS('Taxonomy and Risk'!$B$5:$B$64,A10,'Taxonomy and Risk'!$O$5:$O$64,Scales!$B$21)</f>
        <v>1</v>
      </c>
      <c r="D10" s="14" t="n">
        <f aca="false">COUNTIFS('Taxonomy and Risk'!$B$5:$B$64,A10,'Taxonomy and Risk'!$E$5:$E$64,"Life safety")</f>
        <v>0</v>
      </c>
      <c r="E10" s="15" t="n">
        <f aca="false">IFERROR(AVERAGEIF('Taxonomy and Risk'!$B$5:$B$64,A10,'Taxonomy and Risk'!$N$5:$N$64),0)</f>
        <v>5.75</v>
      </c>
      <c r="F10" s="14" t="n">
        <f aca="false">SUMPRODUCT(MAX(('Taxonomy and Risk'!$B$5:$B$64=A10)*'Taxonomy and Risk'!$N$5:$N$64))</f>
        <v>20</v>
      </c>
      <c r="G10" s="14" t="str">
        <f aca="false">COUNTIFS('Taxonomy and Risk'!$B$5:$B$64,A10,'Taxonomy and Risk'!$S$5:$S$64,"Confirmed*")&amp;" of "&amp;B10</f>
        <v>4 of 8</v>
      </c>
    </row>
    <row r="11" customFormat="false" ht="15" hidden="false" customHeight="false" outlineLevel="0" collapsed="false">
      <c r="A11" s="16" t="s">
        <v>375</v>
      </c>
      <c r="B11" s="17" t="n">
        <f aca="false">SUM(B4:B10)</f>
        <v>60</v>
      </c>
      <c r="C11" s="17" t="n">
        <f aca="false">SUM(C4:C10)</f>
        <v>13</v>
      </c>
      <c r="D11" s="17" t="n">
        <f aca="false">SUM(D4:D10)</f>
        <v>24</v>
      </c>
      <c r="E11" s="18" t="n">
        <f aca="false">AVERAGE('Taxonomy and Risk'!$N$5:$N$64)</f>
        <v>9.8</v>
      </c>
      <c r="F11" s="17" t="n">
        <f aca="false">MAX('Taxonomy and Risk'!$N$5:$N$64)</f>
        <v>25</v>
      </c>
      <c r="G11" s="17" t="str">
        <f aca="false">COUNTIF('Taxonomy and Risk'!$S$5:$S$64,"Confirmed*")&amp;" of "&amp;B11</f>
        <v>38 of 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44"/>
    <col collapsed="false" customWidth="true" hidden="false" outlineLevel="0" max="3" min="3" style="0" width="36"/>
    <col collapsed="false" customWidth="true" hidden="false" outlineLevel="0" max="4" min="4" style="0" width="24"/>
    <col collapsed="false" customWidth="true" hidden="false" outlineLevel="0" max="5" min="5" style="0" width="7"/>
    <col collapsed="false" customWidth="true" hidden="false" outlineLevel="0" max="6" min="6" style="0" width="60"/>
    <col collapsed="false" customWidth="true" hidden="false" outlineLevel="0" max="7" min="7" style="0" width="12"/>
  </cols>
  <sheetData>
    <row r="1" customFormat="false" ht="17.35" hidden="false" customHeight="false" outlineLevel="0" collapsed="false">
      <c r="A1" s="6" t="s">
        <v>376</v>
      </c>
    </row>
    <row r="2" customFormat="false" ht="15" hidden="false" customHeight="false" outlineLevel="0" collapsed="false">
      <c r="A2" s="7" t="s">
        <v>377</v>
      </c>
    </row>
    <row r="4" customFormat="false" ht="23.85" hidden="false" customHeight="false" outlineLevel="0" collapsed="false">
      <c r="A4" s="8" t="s">
        <v>29</v>
      </c>
      <c r="B4" s="8" t="s">
        <v>378</v>
      </c>
      <c r="C4" s="8" t="s">
        <v>379</v>
      </c>
      <c r="D4" s="8" t="s">
        <v>380</v>
      </c>
      <c r="E4" s="8" t="s">
        <v>381</v>
      </c>
      <c r="F4" s="8" t="s">
        <v>382</v>
      </c>
      <c r="G4" s="8" t="s">
        <v>383</v>
      </c>
    </row>
    <row r="5" customFormat="false" ht="23.85" hidden="false" customHeight="false" outlineLevel="0" collapsed="false">
      <c r="A5" s="10" t="s">
        <v>79</v>
      </c>
      <c r="B5" s="10" t="s">
        <v>384</v>
      </c>
      <c r="C5" s="10" t="s">
        <v>385</v>
      </c>
      <c r="D5" s="10" t="s">
        <v>386</v>
      </c>
      <c r="E5" s="10" t="s">
        <v>387</v>
      </c>
      <c r="F5" s="19" t="s">
        <v>388</v>
      </c>
      <c r="G5" s="9" t="n">
        <f aca="false">COUNTIF('Taxonomy and Risk'!$J$5:$J$64,"*"&amp;A5&amp;",*")+COUNTIF('Taxonomy and Risk'!$J$5:$J$64,"*"&amp;A5)</f>
        <v>19</v>
      </c>
    </row>
    <row r="6" customFormat="false" ht="23.85" hidden="false" customHeight="false" outlineLevel="0" collapsed="false">
      <c r="A6" s="10" t="s">
        <v>389</v>
      </c>
      <c r="B6" s="10" t="s">
        <v>390</v>
      </c>
      <c r="C6" s="10" t="s">
        <v>385</v>
      </c>
      <c r="D6" s="10" t="s">
        <v>386</v>
      </c>
      <c r="E6" s="10" t="s">
        <v>391</v>
      </c>
      <c r="F6" s="19" t="s">
        <v>392</v>
      </c>
      <c r="G6" s="9" t="n">
        <f aca="false">COUNTIF('Taxonomy and Risk'!$J$5:$J$64,"*"&amp;A6&amp;",*")+COUNTIF('Taxonomy and Risk'!$J$5:$J$64,"*"&amp;A6)</f>
        <v>2</v>
      </c>
    </row>
    <row r="7" customFormat="false" ht="15" hidden="false" customHeight="false" outlineLevel="0" collapsed="false">
      <c r="A7" s="10" t="s">
        <v>256</v>
      </c>
      <c r="B7" s="10" t="s">
        <v>393</v>
      </c>
      <c r="C7" s="10" t="s">
        <v>394</v>
      </c>
      <c r="D7" s="10" t="s">
        <v>386</v>
      </c>
      <c r="E7" s="10" t="s">
        <v>387</v>
      </c>
      <c r="F7" s="19" t="s">
        <v>395</v>
      </c>
      <c r="G7" s="9" t="n">
        <f aca="false">COUNTIF('Taxonomy and Risk'!$J$5:$J$64,"*"&amp;A7&amp;",*")+COUNTIF('Taxonomy and Risk'!$J$5:$J$64,"*"&amp;A7)</f>
        <v>4</v>
      </c>
    </row>
    <row r="8" customFormat="false" ht="23.85" hidden="false" customHeight="false" outlineLevel="0" collapsed="false">
      <c r="A8" s="10" t="s">
        <v>70</v>
      </c>
      <c r="B8" s="10" t="s">
        <v>396</v>
      </c>
      <c r="C8" s="10" t="s">
        <v>397</v>
      </c>
      <c r="D8" s="10" t="s">
        <v>398</v>
      </c>
      <c r="E8" s="10" t="s">
        <v>391</v>
      </c>
      <c r="F8" s="19" t="s">
        <v>399</v>
      </c>
      <c r="G8" s="9" t="n">
        <f aca="false">COUNTIF('Taxonomy and Risk'!$J$5:$J$64,"*"&amp;A8&amp;",*")+COUNTIF('Taxonomy and Risk'!$J$5:$J$64,"*"&amp;A8)</f>
        <v>15</v>
      </c>
    </row>
    <row r="9" customFormat="false" ht="15" hidden="false" customHeight="false" outlineLevel="0" collapsed="false">
      <c r="A9" s="10" t="s">
        <v>208</v>
      </c>
      <c r="B9" s="10" t="s">
        <v>400</v>
      </c>
      <c r="C9" s="10" t="s">
        <v>401</v>
      </c>
      <c r="D9" s="10" t="s">
        <v>402</v>
      </c>
      <c r="E9" s="10" t="s">
        <v>403</v>
      </c>
      <c r="F9" s="19" t="s">
        <v>404</v>
      </c>
      <c r="G9" s="9" t="n">
        <f aca="false">COUNTIF('Taxonomy and Risk'!$J$5:$J$64,"*"&amp;A9&amp;",*")+COUNTIF('Taxonomy and Risk'!$J$5:$J$64,"*"&amp;A9)</f>
        <v>14</v>
      </c>
    </row>
    <row r="10" customFormat="false" ht="15" hidden="false" customHeight="false" outlineLevel="0" collapsed="false">
      <c r="A10" s="10" t="s">
        <v>316</v>
      </c>
      <c r="B10" s="10" t="s">
        <v>405</v>
      </c>
      <c r="C10" s="10" t="s">
        <v>406</v>
      </c>
      <c r="D10" s="10" t="s">
        <v>407</v>
      </c>
      <c r="E10" s="10" t="s">
        <v>403</v>
      </c>
      <c r="F10" s="19" t="s">
        <v>408</v>
      </c>
      <c r="G10" s="9" t="n">
        <f aca="false">COUNTIF('Taxonomy and Risk'!$J$5:$J$64,"*"&amp;A10&amp;",*")+COUNTIF('Taxonomy and Risk'!$J$5:$J$64,"*"&amp;A10)</f>
        <v>9</v>
      </c>
    </row>
    <row r="11" customFormat="false" ht="23.85" hidden="false" customHeight="false" outlineLevel="0" collapsed="false">
      <c r="A11" s="10" t="s">
        <v>262</v>
      </c>
      <c r="B11" s="10" t="s">
        <v>409</v>
      </c>
      <c r="C11" s="10" t="s">
        <v>410</v>
      </c>
      <c r="D11" s="10" t="s">
        <v>411</v>
      </c>
      <c r="E11" s="10" t="s">
        <v>403</v>
      </c>
      <c r="F11" s="19" t="s">
        <v>412</v>
      </c>
      <c r="G11" s="9" t="n">
        <f aca="false">COUNTIF('Taxonomy and Risk'!$J$5:$J$64,"*"&amp;A11&amp;",*")+COUNTIF('Taxonomy and Risk'!$J$5:$J$64,"*"&amp;A11)</f>
        <v>3</v>
      </c>
    </row>
    <row r="12" customFormat="false" ht="15" hidden="false" customHeight="false" outlineLevel="0" collapsed="false">
      <c r="A12" s="10" t="s">
        <v>413</v>
      </c>
      <c r="B12" s="10" t="s">
        <v>414</v>
      </c>
      <c r="C12" s="10" t="s">
        <v>415</v>
      </c>
      <c r="D12" s="10" t="s">
        <v>416</v>
      </c>
      <c r="E12" s="10" t="s">
        <v>403</v>
      </c>
      <c r="F12" s="19" t="s">
        <v>417</v>
      </c>
      <c r="G12" s="9" t="n">
        <f aca="false">COUNTIF('Taxonomy and Risk'!$J$5:$J$64,"*"&amp;A12&amp;",*")+COUNTIF('Taxonomy and Risk'!$J$5:$J$64,"*"&amp;A12)</f>
        <v>3</v>
      </c>
    </row>
    <row r="13" customFormat="false" ht="23.85" hidden="false" customHeight="false" outlineLevel="0" collapsed="false">
      <c r="A13" s="10" t="s">
        <v>110</v>
      </c>
      <c r="B13" s="10" t="s">
        <v>418</v>
      </c>
      <c r="C13" s="10" t="s">
        <v>419</v>
      </c>
      <c r="D13" s="10" t="s">
        <v>420</v>
      </c>
      <c r="E13" s="10" t="s">
        <v>403</v>
      </c>
      <c r="F13" s="19" t="s">
        <v>421</v>
      </c>
      <c r="G13" s="9" t="n">
        <f aca="false">COUNTIF('Taxonomy and Risk'!$J$5:$J$64,"*"&amp;A13&amp;",*")+COUNTIF('Taxonomy and Risk'!$J$5:$J$64,"*"&amp;A13)</f>
        <v>5</v>
      </c>
    </row>
    <row r="14" customFormat="false" ht="15" hidden="false" customHeight="false" outlineLevel="0" collapsed="false">
      <c r="A14" s="10" t="s">
        <v>422</v>
      </c>
      <c r="B14" s="10" t="s">
        <v>423</v>
      </c>
      <c r="C14" s="10" t="s">
        <v>424</v>
      </c>
      <c r="D14" s="10" t="s">
        <v>420</v>
      </c>
      <c r="E14" s="10" t="s">
        <v>403</v>
      </c>
      <c r="F14" s="19" t="s">
        <v>425</v>
      </c>
      <c r="G14" s="9" t="n">
        <f aca="false">COUNTIF('Taxonomy and Risk'!$J$5:$J$64,"*"&amp;A14&amp;",*")+COUNTIF('Taxonomy and Risk'!$J$5:$J$64,"*"&amp;A14)</f>
        <v>10</v>
      </c>
    </row>
    <row r="15" customFormat="false" ht="23.85" hidden="false" customHeight="false" outlineLevel="0" collapsed="false">
      <c r="A15" s="10" t="s">
        <v>426</v>
      </c>
      <c r="B15" s="10" t="s">
        <v>427</v>
      </c>
      <c r="C15" s="10" t="s">
        <v>428</v>
      </c>
      <c r="D15" s="10" t="s">
        <v>420</v>
      </c>
      <c r="E15" s="10" t="s">
        <v>387</v>
      </c>
      <c r="F15" s="19" t="s">
        <v>429</v>
      </c>
      <c r="G15" s="9" t="n">
        <f aca="false">COUNTIF('Taxonomy and Risk'!$J$5:$J$64,"*"&amp;A15&amp;",*")+COUNTIF('Taxonomy and Risk'!$J$5:$J$64,"*"&amp;A15)</f>
        <v>5</v>
      </c>
    </row>
    <row r="16" customFormat="false" ht="15" hidden="false" customHeight="false" outlineLevel="0" collapsed="false">
      <c r="A16" s="10" t="s">
        <v>430</v>
      </c>
      <c r="B16" s="10" t="s">
        <v>431</v>
      </c>
      <c r="C16" s="10" t="s">
        <v>432</v>
      </c>
      <c r="D16" s="10" t="s">
        <v>433</v>
      </c>
      <c r="E16" s="10" t="s">
        <v>403</v>
      </c>
      <c r="F16" s="19" t="s">
        <v>434</v>
      </c>
      <c r="G16" s="9" t="n">
        <f aca="false">COUNTIF('Taxonomy and Risk'!$J$5:$J$64,"*"&amp;A16&amp;",*")+COUNTIF('Taxonomy and Risk'!$J$5:$J$64,"*"&amp;A16)</f>
        <v>0</v>
      </c>
    </row>
    <row r="17" customFormat="false" ht="15" hidden="false" customHeight="false" outlineLevel="0" collapsed="false">
      <c r="A17" s="10" t="s">
        <v>435</v>
      </c>
      <c r="B17" s="10" t="s">
        <v>436</v>
      </c>
      <c r="C17" s="10" t="s">
        <v>437</v>
      </c>
      <c r="D17" s="10" t="s">
        <v>433</v>
      </c>
      <c r="E17" s="10" t="s">
        <v>438</v>
      </c>
      <c r="F17" s="19" t="s">
        <v>439</v>
      </c>
      <c r="G17" s="9" t="n">
        <f aca="false">COUNTIF('Taxonomy and Risk'!$J$5:$J$64,"*"&amp;A17&amp;",*")+COUNTIF('Taxonomy and Risk'!$J$5:$J$64,"*"&amp;A17)</f>
        <v>0</v>
      </c>
    </row>
    <row r="18" customFormat="false" ht="23.85" hidden="false" customHeight="false" outlineLevel="0" collapsed="false">
      <c r="A18" s="10" t="s">
        <v>440</v>
      </c>
      <c r="B18" s="10" t="s">
        <v>441</v>
      </c>
      <c r="C18" s="10" t="s">
        <v>442</v>
      </c>
      <c r="D18" s="10" t="s">
        <v>433</v>
      </c>
      <c r="E18" s="10" t="s">
        <v>391</v>
      </c>
      <c r="F18" s="19" t="s">
        <v>443</v>
      </c>
      <c r="G18" s="9" t="n">
        <f aca="false">COUNTIF('Taxonomy and Risk'!$J$5:$J$64,"*"&amp;A18&amp;",*")+COUNTIF('Taxonomy and Risk'!$J$5:$J$64,"*"&amp;A18)</f>
        <v>0</v>
      </c>
    </row>
    <row r="19" customFormat="false" ht="15" hidden="false" customHeight="false" outlineLevel="0" collapsed="false">
      <c r="A19" s="10" t="s">
        <v>444</v>
      </c>
      <c r="B19" s="10" t="s">
        <v>445</v>
      </c>
      <c r="C19" s="10" t="s">
        <v>406</v>
      </c>
      <c r="D19" s="10" t="s">
        <v>433</v>
      </c>
      <c r="E19" s="10" t="s">
        <v>391</v>
      </c>
      <c r="F19" s="19" t="s">
        <v>446</v>
      </c>
      <c r="G19" s="9" t="n">
        <f aca="false">COUNTIF('Taxonomy and Risk'!$J$5:$J$64,"*"&amp;A19&amp;",*")+COUNTIF('Taxonomy and Risk'!$J$5:$J$64,"*"&amp;A19)</f>
        <v>0</v>
      </c>
    </row>
    <row r="20" customFormat="false" ht="15" hidden="false" customHeight="false" outlineLevel="0" collapsed="false">
      <c r="A20" s="10" t="s">
        <v>447</v>
      </c>
      <c r="B20" s="10" t="s">
        <v>448</v>
      </c>
      <c r="C20" s="10" t="s">
        <v>442</v>
      </c>
      <c r="D20" s="10" t="s">
        <v>433</v>
      </c>
      <c r="E20" s="10" t="s">
        <v>438</v>
      </c>
      <c r="F20" s="19" t="s">
        <v>449</v>
      </c>
      <c r="G20" s="9" t="n">
        <f aca="false">COUNTIF('Taxonomy and Risk'!$J$5:$J$64,"*"&amp;A20&amp;",*")+COUNTIF('Taxonomy and Risk'!$J$5:$J$64,"*"&amp;A20)</f>
        <v>0</v>
      </c>
    </row>
  </sheetData>
  <hyperlinks>
    <hyperlink ref="F5" r:id="rId1" display="https://dpw.lacounty.gov/bsd/lib/fp/Building/Solar%20Review/Solar%20PV%20System%20Plan%20Review%20List_2025_v1.0.pdf"/>
    <hyperlink ref="F6" r:id="rId2" display="https://pw.lacounty.gov/bsd/lib/fp/Building/Residential/SFD%20Energy%20Correction%20List_2025_V1.0.pdf"/>
    <hyperlink ref="F7" r:id="rId3" display="https://longbeach.gov/globalassets/lbcd/media-library/documents/formsapplications/plan-review-checklists-prc/prc-07f-plan-review-checklist---fire-alarms-systems"/>
    <hyperlink ref="F8" r:id="rId4" display="https://www.rva.gov/sites/default/files/2025-02/Electrical-Handout_0.pdf"/>
    <hyperlink ref="F9" r:id="rId5" display="https://www.phoenix.gov/content/dam/phoenix/pddsite/documents/trt/external/dsd_trt_pdf_00710.pdf"/>
    <hyperlink ref="F10" r:id="rId6" display="https://www.iccsafe.org/wp-content/uploads/PR-Elec-Req.pdf"/>
    <hyperlink ref="F11" r:id="rId7" display="https://dsps.wi.gov/Documents/Programs/FireSuppressAlarm/FireAlarmSubmittalGuidelines.pdf"/>
    <hyperlink ref="F12" r:id="rId8" display="https://www.eaton.com/content/dam/eaton/products/electrical-circuit-protection/fuses/technical-literature/bus-ele-an-3015-electrical-plan-review.pdf"/>
    <hyperlink ref="F13" r:id="rId9" display="https://www.greenlancer.com/post/solar-plan-sets"/>
    <hyperlink ref="F14" r:id="rId10" display="https://www.mhlconsulting.co/post/why-most-electrical-permit-drawings-get-rejected-and-how-to-fix-it"/>
    <hyperlink ref="F15" r:id="rId11" display="https://energyscaperenewables.com/post/solar-permit-rejections-2026/"/>
    <hyperlink ref="F16" r:id="rId12" display="https://www.mayfield.energy/technical-articles/2023-nec-updates-for-energy-storage-systems/"/>
    <hyperlink ref="F17" r:id="rId13" display="https://captaincode2023.leviton.com/node/349"/>
    <hyperlink ref="F18" r:id="rId14" display="https://up.codes/viewer/california/ca-electric-code-2025"/>
    <hyperlink ref="F19" r:id="rId15" display="https://codes.iccsafe.org/s/CAGBC2025P1/chapter-5-nonresidential-mandatory-measures/CAGBC2025P1-Ch05-SubCh5.1-Sec5.106.5.3"/>
    <hyperlink ref="F20" r:id="rId16" display="https://up.codes/s/energy-storage-system-location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4"/>
    <col collapsed="false" customWidth="true" hidden="false" outlineLevel="0" max="3" min="3" style="0" width="52"/>
    <col collapsed="false" customWidth="true" hidden="false" outlineLevel="0" max="4" min="4" style="0" width="48"/>
  </cols>
  <sheetData>
    <row r="2" customFormat="false" ht="17.35" hidden="false" customHeight="false" outlineLevel="0" collapsed="false">
      <c r="B2" s="6" t="s">
        <v>450</v>
      </c>
    </row>
    <row r="3" customFormat="false" ht="15" hidden="false" customHeight="false" outlineLevel="0" collapsed="false">
      <c r="B3" s="7" t="s">
        <v>451</v>
      </c>
    </row>
    <row r="5" customFormat="false" ht="15" hidden="false" customHeight="false" outlineLevel="0" collapsed="false">
      <c r="B5" s="8" t="s">
        <v>33</v>
      </c>
      <c r="C5" s="8" t="s">
        <v>452</v>
      </c>
      <c r="D5" s="8" t="s">
        <v>453</v>
      </c>
    </row>
    <row r="6" customFormat="false" ht="23.85" hidden="false" customHeight="false" outlineLevel="0" collapsed="false">
      <c r="B6" s="10" t="s">
        <v>93</v>
      </c>
      <c r="C6" s="12" t="n">
        <v>5</v>
      </c>
      <c r="D6" s="10" t="s">
        <v>454</v>
      </c>
    </row>
    <row r="7" customFormat="false" ht="23.85" hidden="false" customHeight="false" outlineLevel="0" collapsed="false">
      <c r="B7" s="10" t="s">
        <v>78</v>
      </c>
      <c r="C7" s="12" t="n">
        <v>4</v>
      </c>
      <c r="D7" s="10" t="s">
        <v>455</v>
      </c>
    </row>
    <row r="8" customFormat="false" ht="23.85" hidden="false" customHeight="false" outlineLevel="0" collapsed="false">
      <c r="B8" s="10" t="s">
        <v>214</v>
      </c>
      <c r="C8" s="12" t="n">
        <v>2</v>
      </c>
      <c r="D8" s="10" t="s">
        <v>456</v>
      </c>
    </row>
    <row r="9" customFormat="false" ht="23.85" hidden="false" customHeight="false" outlineLevel="0" collapsed="false">
      <c r="B9" s="10" t="s">
        <v>54</v>
      </c>
      <c r="C9" s="12" t="n">
        <v>1</v>
      </c>
      <c r="D9" s="10" t="s">
        <v>457</v>
      </c>
    </row>
    <row r="12" customFormat="false" ht="15" hidden="false" customHeight="false" outlineLevel="0" collapsed="false">
      <c r="B12" s="8" t="s">
        <v>458</v>
      </c>
      <c r="C12" s="8" t="s">
        <v>459</v>
      </c>
      <c r="D12" s="8" t="s">
        <v>460</v>
      </c>
    </row>
    <row r="13" customFormat="false" ht="23.85" hidden="false" customHeight="false" outlineLevel="0" collapsed="false">
      <c r="B13" s="9" t="n">
        <v>5</v>
      </c>
      <c r="C13" s="10" t="s">
        <v>461</v>
      </c>
      <c r="D13" s="10" t="s">
        <v>462</v>
      </c>
    </row>
    <row r="14" customFormat="false" ht="23.85" hidden="false" customHeight="false" outlineLevel="0" collapsed="false">
      <c r="B14" s="9" t="n">
        <v>4</v>
      </c>
      <c r="C14" s="10" t="s">
        <v>463</v>
      </c>
      <c r="D14" s="10" t="s">
        <v>464</v>
      </c>
    </row>
    <row r="15" customFormat="false" ht="15" hidden="false" customHeight="false" outlineLevel="0" collapsed="false">
      <c r="B15" s="9" t="n">
        <v>3</v>
      </c>
      <c r="C15" s="10" t="s">
        <v>465</v>
      </c>
      <c r="D15" s="10" t="s">
        <v>466</v>
      </c>
    </row>
    <row r="16" customFormat="false" ht="15" hidden="false" customHeight="false" outlineLevel="0" collapsed="false">
      <c r="B16" s="9" t="n">
        <v>2</v>
      </c>
      <c r="C16" s="10" t="s">
        <v>467</v>
      </c>
      <c r="D16" s="10" t="s">
        <v>468</v>
      </c>
    </row>
    <row r="17" customFormat="false" ht="15" hidden="false" customHeight="false" outlineLevel="0" collapsed="false">
      <c r="B17" s="9" t="n">
        <v>1</v>
      </c>
      <c r="C17" s="10" t="s">
        <v>469</v>
      </c>
      <c r="D17" s="10" t="s">
        <v>470</v>
      </c>
    </row>
    <row r="20" customFormat="false" ht="15" hidden="false" customHeight="false" outlineLevel="0" collapsed="false">
      <c r="B20" s="8" t="s">
        <v>43</v>
      </c>
      <c r="C20" s="8" t="s">
        <v>471</v>
      </c>
      <c r="D20" s="8" t="s">
        <v>453</v>
      </c>
    </row>
    <row r="21" customFormat="false" ht="15" hidden="false" customHeight="false" outlineLevel="0" collapsed="false">
      <c r="B21" s="16" t="s">
        <v>472</v>
      </c>
      <c r="C21" s="12" t="n">
        <v>16</v>
      </c>
      <c r="D21" s="13" t="s">
        <v>473</v>
      </c>
    </row>
    <row r="22" customFormat="false" ht="15" hidden="false" customHeight="false" outlineLevel="0" collapsed="false">
      <c r="B22" s="16" t="s">
        <v>474</v>
      </c>
      <c r="C22" s="12" t="n">
        <v>8</v>
      </c>
      <c r="D22" s="13" t="s">
        <v>475</v>
      </c>
    </row>
    <row r="23" customFormat="false" ht="15" hidden="false" customHeight="false" outlineLevel="0" collapsed="false">
      <c r="B23" s="16" t="s">
        <v>476</v>
      </c>
      <c r="C23" s="12" t="n">
        <v>0</v>
      </c>
      <c r="D23" s="13" t="s">
        <v>477</v>
      </c>
    </row>
    <row r="25" customFormat="false" ht="15" hidden="false" customHeight="true" outlineLevel="0" collapsed="false">
      <c r="B25" s="20" t="s">
        <v>478</v>
      </c>
      <c r="C25" s="20"/>
      <c r="D25" s="20"/>
    </row>
    <row r="26" customFormat="false" ht="15" hidden="false" customHeight="false" outlineLevel="0" collapsed="false">
      <c r="B26" s="20"/>
      <c r="C26" s="20"/>
      <c r="D26" s="20"/>
    </row>
    <row r="27" customFormat="false" ht="15" hidden="false" customHeight="false" outlineLevel="0" collapsed="false">
      <c r="B27" s="20"/>
      <c r="C27" s="20"/>
      <c r="D27" s="20"/>
    </row>
  </sheetData>
  <mergeCells count="1">
    <mergeCell ref="B25: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2026-09-24T17:42:43Z</dcterms:created>
  <dc:creator>openpyxl</dc:creator>
  <dc:description/>
  <dc:language>en-US</dc:language>
  <cp:lastModifiedBy/>
  <dcterms:modified xsi:type="dcterms:W3CDTF">2026-09-24T17:42:43Z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